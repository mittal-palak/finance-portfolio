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202\OneDrive\Desktop\"/>
    </mc:Choice>
  </mc:AlternateContent>
  <xr:revisionPtr revIDLastSave="0" documentId="8_{5764628E-6244-4A24-B5F8-8AB2C03AB989}" xr6:coauthVersionLast="47" xr6:coauthVersionMax="47" xr10:uidLastSave="{00000000-0000-0000-0000-000000000000}"/>
  <bookViews>
    <workbookView xWindow="-108" yWindow="-108" windowWidth="23256" windowHeight="12456" xr2:uid="{23465851-C61D-46DD-92F8-991B94EF5666}"/>
  </bookViews>
  <sheets>
    <sheet name="switzerland fin report" sheetId="1" r:id="rId1"/>
  </sheets>
  <definedNames>
    <definedName name="_xlchart.v2.0" hidden="1">'switzerland fin report'!$B$24:$B$28</definedName>
    <definedName name="_xlchart.v2.1" hidden="1">'switzerland fin report'!$C$23</definedName>
    <definedName name="_xlchart.v2.2" hidden="1">'switzerland fin report'!$C$24:$C$28</definedName>
    <definedName name="_xlchart.v2.3" hidden="1">'switzerland fin report'!$B$24:$B$28</definedName>
    <definedName name="_xlchart.v2.4" hidden="1">'switzerland fin report'!$C$23</definedName>
    <definedName name="_xlchart.v2.5" hidden="1">'switzerland fin report'!$C$24:$C$28</definedName>
    <definedName name="_xlchart.v2.6" hidden="1">'switzerland fin report'!$B$24:$B$28</definedName>
    <definedName name="_xlchart.v2.7" hidden="1">'switzerland fin report'!$C$23</definedName>
    <definedName name="_xlchart.v2.8" hidden="1">'switzerland fin report'!$C$24:$C$28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<sst xmlns="http://schemas.openxmlformats.org/spreadsheetml/2006/main" count="29" uniqueCount="26">
  <si>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Figure 4. Swiss GDP Growth vs. Eurozone Average (2020–2024)</t>
  </si>
  <si>
    <t>Year</t>
  </si>
  <si>
    <t>Switzerland</t>
  </si>
  <si>
    <t>Eurozone</t>
  </si>
  <si>
    <t>Country</t>
  </si>
  <si>
    <t>Debt % GDP</t>
  </si>
  <si>
    <t>Singapore</t>
  </si>
  <si>
    <t>Luxembourg</t>
  </si>
  <si>
    <t>United Kingdom</t>
  </si>
  <si>
    <t>Germany</t>
  </si>
  <si>
    <t>Export Category</t>
  </si>
  <si>
    <t>Share (%)</t>
  </si>
  <si>
    <t>Pharmaceuticals</t>
  </si>
  <si>
    <t>Machinery</t>
  </si>
  <si>
    <t>Chemicals</t>
  </si>
  <si>
    <t>Watches</t>
  </si>
  <si>
    <t>Precision Instruments</t>
  </si>
  <si>
    <t>Other</t>
  </si>
  <si>
    <t>FX Reserves (CHF bn)</t>
  </si>
  <si>
    <t>Assets Under Management (USD tn)</t>
  </si>
  <si>
    <t>Company</t>
  </si>
  <si>
    <t>Weight (%)</t>
  </si>
  <si>
    <t>Nestlé</t>
  </si>
  <si>
    <t>Roche</t>
  </si>
  <si>
    <t>Novartis</t>
  </si>
  <si>
    <t>Remaining Constituents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</si>
</sst>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17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Swiss GDP Growth vs. Eurozone Average (2020–2024)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'switzerland fin report'!$C$5</c:f>
              <c:strCache>
                <c:ptCount val="1"/>
                <c:pt idx="0">
                  <c:v>Switzerland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'switzerland fin report'!$B$6:$B$10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'switzerland fin report'!$C$6:$C$10</c:f>
              <c:numCache>
                <c:formatCode>General</c:formatCode>
                <c:ptCount val="5"/>
                <c:pt idx="0">
                  <c:v>-2.5</c:v>
                </c:pt>
                <c:pt idx="1">
                  <c:v>4.2</c:v>
                </c:pt>
                <c:pt idx="2">
                  <c:v>2.6</c:v>
                </c:pt>
                <c:pt idx="3">
                  <c:v>1.4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4-41CB-BEDA-F9C4F14A6983}"/>
            </c:ext>
          </c:extLst>
        </c:ser>
        <c:ser>
          <c:idx val="1"/>
          <c:order val="1"/>
          <c:tx>
            <c:strRef>
              <c:f>'switzerland fin report'!$D$5</c:f>
              <c:strCache>
                <c:ptCount val="1"/>
                <c:pt idx="0">
                  <c:v>Eurozone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'switzerland fin report'!$B$6:$B$10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'switzerland fin report'!$D$6:$D$10</c:f>
              <c:numCache>
                <c:formatCode>General</c:formatCode>
                <c:ptCount val="5"/>
                <c:pt idx="0">
                  <c:v>-6.1</c:v>
                </c:pt>
                <c:pt idx="1">
                  <c:v>5.3</c:v>
                </c:pt>
                <c:pt idx="2">
                  <c:v>3.4</c:v>
                </c:pt>
                <c:pt idx="3">
                  <c:v>0.4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4-41CB-BEDA-F9C4F14A6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9751359"/>
        <c:axId val="1232516175"/>
      </c:lineChart>
      <c:catAx>
        <c:axId val="14797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16175"/>
        <c:crosses val="autoZero"/>
        <c:auto val="1"/>
        <c:lblAlgn val="ctr"/>
        <c:lblOffset val="100"/>
        <c:noMultiLvlLbl val="0"/>
      </c:catAx>
      <c:valAx>
        <c:axId val="123251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75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Swiss Merchandise Export Composition 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'switzerland fin report'!$C$44</c:f>
              <c:strCache>
                <c:ptCount val="1"/>
                <c:pt idx="0">
                  <c:v>Share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'switzerland fin report'!$B$45:$B$50</c:f>
              <c:strCache>
                <c:ptCount val="6"/>
                <c:pt idx="0">
                  <c:v>Pharmaceuticals</c:v>
                </c:pt>
                <c:pt idx="1">
                  <c:v>Machinery</c:v>
                </c:pt>
                <c:pt idx="2">
                  <c:v>Chemicals</c:v>
                </c:pt>
                <c:pt idx="3">
                  <c:v>Watches</c:v>
                </c:pt>
                <c:pt idx="4">
                  <c:v>Precision Instruments</c:v>
                </c:pt>
                <c:pt idx="5">
                  <c:v>Other</c:v>
                </c:pt>
              </c:strCache>
            </c:strRef>
          </c:cat>
          <c:val>
            <c:numRef>
              <c:f>'switzerland fin report'!$C$45:$C$50</c:f>
              <c:numCache>
                <c:formatCode>0%</c:formatCode>
                <c:ptCount val="6"/>
                <c:pt idx="0">
                  <c:v>0.41</c:v>
                </c:pt>
                <c:pt idx="1">
                  <c:v>0.13</c:v>
                </c:pt>
                <c:pt idx="2">
                  <c:v>0.1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D-4203-9D75-FFB0BDBF7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'switzerland fin report'!$C$62</c:f>
              <c:strCache>
                <c:ptCount val="1"/>
                <c:pt idx="0">
                  <c:v>FX Reserves (CHF bn)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'switzerland fin report'!$B$63:$B$68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'switzerland fin report'!$C$63:$C$68</c:f>
              <c:numCache>
                <c:formatCode>General</c:formatCode>
                <c:ptCount val="6"/>
                <c:pt idx="0">
                  <c:v>999</c:v>
                </c:pt>
                <c:pt idx="1">
                  <c:v>1086</c:v>
                </c:pt>
                <c:pt idx="2">
                  <c:v>882</c:v>
                </c:pt>
                <c:pt idx="3">
                  <c:v>719</c:v>
                </c:pt>
                <c:pt idx="4">
                  <c:v>705</c:v>
                </c:pt>
                <c:pt idx="5">
                  <c:v>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4-476C-9034-4A79E415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952719"/>
        <c:axId val="1508102639"/>
      </c:lineChart>
      <c:catAx>
        <c:axId val="15789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02639"/>
        <c:crosses val="autoZero"/>
        <c:auto val="1"/>
        <c:lblAlgn val="ctr"/>
        <c:lblOffset val="100"/>
        <c:noMultiLvlLbl val="0"/>
      </c:catAx>
      <c:valAx>
        <c:axId val="15081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5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'switzerland fin report'!$C$81</c:f>
              <c:strCache>
                <c:ptCount val="1"/>
                <c:pt idx="0">
                  <c:v>Assets Under Management (USD tn)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'switzerland fin report'!$B$82:$B$84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'switzerland fin report'!$C$82:$C$84</c:f>
              <c:numCache>
                <c:formatCode>General</c:formatCode>
                <c:ptCount val="3"/>
                <c:pt idx="0">
                  <c:v>3.9</c:v>
                </c:pt>
                <c:pt idx="1">
                  <c:v>5.7</c:v>
                </c:pt>
                <c:pt idx="2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A-4ECB-B8B2-04581B73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8928127"/>
        <c:axId val="1508116079"/>
      </c:barChart>
      <c:catAx>
        <c:axId val="157892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16079"/>
        <c:crosses val="autoZero"/>
        <c:auto val="1"/>
        <c:lblAlgn val="ctr"/>
        <c:lblOffset val="100"/>
        <c:noMultiLvlLbl val="0"/>
      </c:catAx>
      <c:valAx>
        <c:axId val="15081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2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SMI Index Weight by Top Three Constituents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'switzerland fin report'!$C$101</c:f>
              <c:strCache>
                <c:ptCount val="1"/>
                <c:pt idx="0">
                  <c:v>Weight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'switzerland fin report'!$B$102:$B$105</c:f>
              <c:strCache>
                <c:ptCount val="4"/>
                <c:pt idx="0">
                  <c:v>Nestlé</c:v>
                </c:pt>
                <c:pt idx="1">
                  <c:v>Roche</c:v>
                </c:pt>
                <c:pt idx="2">
                  <c:v>Novartis</c:v>
                </c:pt>
                <c:pt idx="3">
                  <c:v>Remaining Constituents</c:v>
                </c:pt>
              </c:strCache>
            </c:strRef>
          </c:cat>
          <c:val>
            <c:numRef>
              <c:f>'switzerland fin report'!$C$102:$C$105</c:f>
              <c:numCache>
                <c:formatCode>General</c:formatCode>
                <c:ptCount val="4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56E-8DF6-3EA286FE3F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Government Debt as % of GDP (2024)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D76F53EB-2E87-4C19-BA5D-01F78C623663}">
          <cx:tx>
            <cx:txData>
              <cx:f>_xlchart.v2.7</cx:f>
              <cx:v>Debt % GDP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38582</xdr:colOff>
      <xdr:row>0</xdr:row>
      <xdr:rowOff>173620</xdr:rowOff>
    </xdr:from>
    <xdr:to>
      <xdr:col>5</xdr:col>
      <xdr:colOff>106101</xdr:colOff>
      <xdr:row>3</xdr:row>
      <xdr:rowOff>19291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67C57-5458-763C-7212-61C710625C45}"/>
            </a:ext>
          </a:extLst>
        </xdr:cNvPr>
        <xdr:cNvSpPr txBox="1"/>
      </xdr:nvSpPr>
      <xdr:spPr>
        <a:xfrm>
          <a:off x="646253" y="173620"/>
          <a:ext cx="3810000" cy="578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4. Swiss GDP Growth vs. Eurozone Average (2020–2024)</a:t>
          </a:r>
          <a:r>
            <a:rPr lang="en-IN" sz="1600">
              <a:effectLst/>
            </a:rPr>
            <a:t> </a:t>
          </a:r>
          <a:endParaRPr lang="en-IN" sz="1600"/>
        </a:p>
      </xdr:txBody>
    </xdr:sp>
    <xdr:clientData/>
  </xdr:twoCellAnchor>
  <xdr:twoCellAnchor>
    <xdr:from>
      <xdr:col>4</xdr:col>
      <xdr:colOff>160662</xdr:colOff>
      <xdr:row>3</xdr:row>
      <xdr:rowOff>97254</xdr:rowOff>
    </xdr:from>
    <xdr:to>
      <xdr:col>11</xdr:col>
      <xdr:colOff>443665</xdr:colOff>
      <xdr:row>15</xdr:row>
      <xdr:rowOff>137710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95711A-CD61-16BB-92EA-AEB5A75DC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182561</xdr:rowOff>
    </xdr:from>
    <xdr:to>
      <xdr:col>5</xdr:col>
      <xdr:colOff>198437</xdr:colOff>
      <xdr:row>20</xdr:row>
      <xdr:rowOff>134936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818132-1684-404B-0BA2-48929B5D034E}"/>
            </a:ext>
          </a:extLst>
        </xdr:cNvPr>
        <xdr:cNvSpPr txBox="1"/>
      </xdr:nvSpPr>
      <xdr:spPr>
        <a:xfrm>
          <a:off x="611188" y="3286124"/>
          <a:ext cx="3770312" cy="682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Figure 5. Public Debt-to-GDP Comparison</a:t>
          </a:r>
        </a:p>
      </xdr:txBody>
    </xdr:sp>
    <xdr:clientData/>
  </xdr:twoCellAnchor>
  <xdr:twoCellAnchor>
    <xdr:from>
      <xdr:col>3</xdr:col>
      <xdr:colOff>364901</xdr:colOff>
      <xdr:row>21</xdr:row>
      <xdr:rowOff>171183</xdr:rowOff>
    </xdr:from>
    <xdr:to>
      <xdr:col>10</xdr:col>
      <xdr:colOff>407831</xdr:colOff>
      <xdr:row>36</xdr:row>
      <xdr:rowOff>177622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FB06F8B-BB73-1619-F37A-92CDEE05C7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0197" y="418509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13369</xdr:colOff>
      <xdr:row>39</xdr:row>
      <xdr:rowOff>4456</xdr:rowOff>
    </xdr:from>
    <xdr:to>
      <xdr:col>5</xdr:col>
      <xdr:colOff>401052</xdr:colOff>
      <xdr:row>42</xdr:row>
      <xdr:rowOff>22281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08B891-CE05-4756-57AE-D9DC6E7AF4C7}"/>
            </a:ext>
          </a:extLst>
        </xdr:cNvPr>
        <xdr:cNvSpPr txBox="1"/>
      </xdr:nvSpPr>
      <xdr:spPr>
        <a:xfrm>
          <a:off x="623860" y="7312526"/>
          <a:ext cx="3961508" cy="565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Figure 6. Swiss Export Composition (2024)</a:t>
          </a:r>
        </a:p>
      </xdr:txBody>
    </xdr:sp>
    <xdr:clientData/>
  </xdr:twoCellAnchor>
  <xdr:twoCellAnchor>
    <xdr:from>
      <xdr:col>3</xdr:col>
      <xdr:colOff>223684</xdr:colOff>
      <xdr:row>42</xdr:row>
      <xdr:rowOff>176982</xdr:rowOff>
    </xdr:from>
    <xdr:to>
      <xdr:col>10</xdr:col>
      <xdr:colOff>265471</xdr:colOff>
      <xdr:row>54</xdr:row>
      <xdr:rowOff>147484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C334BB-F21E-83C8-CDED-C93EF2FF0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6626</xdr:colOff>
      <xdr:row>55</xdr:row>
      <xdr:rowOff>165652</xdr:rowOff>
    </xdr:from>
    <xdr:to>
      <xdr:col>5</xdr:col>
      <xdr:colOff>6626</xdr:colOff>
      <xdr:row>59</xdr:row>
      <xdr:rowOff>53009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106D423-160B-BFDB-9B25-FB61C0A55E33}"/>
            </a:ext>
          </a:extLst>
        </xdr:cNvPr>
        <xdr:cNvSpPr txBox="1"/>
      </xdr:nvSpPr>
      <xdr:spPr>
        <a:xfrm>
          <a:off x="616226" y="10727635"/>
          <a:ext cx="3571461" cy="629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Figure 1.</a:t>
          </a:r>
          <a:r>
            <a:rPr lang="en-IN" sz="1600" b="1" baseline="0"/>
            <a:t> </a:t>
          </a:r>
          <a:r>
            <a:rPr lang="en-IN" sz="1600" b="1"/>
            <a:t>SNB Foreign Exchange Reserves (2020–2025)</a:t>
          </a:r>
        </a:p>
      </xdr:txBody>
    </xdr:sp>
    <xdr:clientData/>
  </xdr:twoCellAnchor>
  <xdr:twoCellAnchor>
    <xdr:from>
      <xdr:col>3</xdr:col>
      <xdr:colOff>677334</xdr:colOff>
      <xdr:row>59</xdr:row>
      <xdr:rowOff>141817</xdr:rowOff>
    </xdr:from>
    <xdr:to>
      <xdr:col>10</xdr:col>
      <xdr:colOff>504471</xdr:colOff>
      <xdr:row>73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A422E5-D6D5-EAB7-B82F-78ACE7FBA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35278</xdr:colOff>
      <xdr:row>74</xdr:row>
      <xdr:rowOff>162278</xdr:rowOff>
    </xdr:from>
    <xdr:to>
      <xdr:col>5</xdr:col>
      <xdr:colOff>381000</xdr:colOff>
      <xdr:row>79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2EED11-A033-1838-70FB-9D7F3FCB66FF}"/>
            </a:ext>
          </a:extLst>
        </xdr:cNvPr>
        <xdr:cNvSpPr txBox="1"/>
      </xdr:nvSpPr>
      <xdr:spPr>
        <a:xfrm>
          <a:off x="642056" y="14287500"/>
          <a:ext cx="4346222" cy="754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Figure 2 – UBS Assets Under Management (Pre- and Post-Credit Suisse Acquisition)</a:t>
          </a:r>
        </a:p>
      </xdr:txBody>
    </xdr:sp>
    <xdr:clientData/>
  </xdr:twoCellAnchor>
  <xdr:twoCellAnchor>
    <xdr:from>
      <xdr:col>3</xdr:col>
      <xdr:colOff>363360</xdr:colOff>
      <xdr:row>79</xdr:row>
      <xdr:rowOff>141817</xdr:rowOff>
    </xdr:from>
    <xdr:to>
      <xdr:col>10</xdr:col>
      <xdr:colOff>433916</xdr:colOff>
      <xdr:row>93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77F429-2F06-3151-96C2-9B172CF37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7055</xdr:colOff>
      <xdr:row>95</xdr:row>
      <xdr:rowOff>134056</xdr:rowOff>
    </xdr:from>
    <xdr:to>
      <xdr:col>7</xdr:col>
      <xdr:colOff>112889</xdr:colOff>
      <xdr:row>99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E7B3A4-7CD6-D7B3-1588-644A7A4C16C2}"/>
            </a:ext>
          </a:extLst>
        </xdr:cNvPr>
        <xdr:cNvSpPr txBox="1"/>
      </xdr:nvSpPr>
      <xdr:spPr>
        <a:xfrm>
          <a:off x="613833" y="18295056"/>
          <a:ext cx="6230056" cy="5997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Figure 3 – SMI Index Weight by Top 3 Constituents</a:t>
          </a:r>
        </a:p>
      </xdr:txBody>
    </xdr:sp>
    <xdr:clientData/>
  </xdr:twoCellAnchor>
  <xdr:twoCellAnchor>
    <xdr:from>
      <xdr:col>3</xdr:col>
      <xdr:colOff>490361</xdr:colOff>
      <xdr:row>99</xdr:row>
      <xdr:rowOff>113594</xdr:rowOff>
    </xdr:from>
    <xdr:to>
      <xdr:col>10</xdr:col>
      <xdr:colOff>560917</xdr:colOff>
      <xdr:row>113</xdr:row>
      <xdr:rowOff>105128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A69CFF9-5DF7-08D0-22CA-3A4919F88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543C2-7B34-42C2-9209-9B3D0E872E68}" name="Table1" displayName="Table1" ref="B5:D10" totalsRowShown="0" headerRowDxfId="13" dataDxfId="12">
  <autoFilter ref="B5:D10" xr:uid="{238543C2-7B34-42C2-9209-9B3D0E872E68}"/>
  <tableColumns count="3">
    <tableColumn id="1" xr3:uid="{2AB0FA1B-DF0F-486F-99BD-4B50716EFFD8}" name="Year" dataDxfId="16"/>
    <tableColumn id="2" xr3:uid="{1A49CB1B-AD8D-4889-8352-01075FC12C67}" name="Switzerland" dataDxfId="15"/>
    <tableColumn id="3" xr3:uid="{6AE2B8BB-9DD5-41D1-89BD-E041FC6DEA2C}" name="Eurozon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3A0B52-32CD-4A37-813F-573DC8600C2D}" name="Table2" displayName="Table2" ref="B23:C28" totalsRowShown="0" headerRowDxfId="8" dataDxfId="9">
  <autoFilter ref="B23:C28" xr:uid="{EE3A0B52-32CD-4A37-813F-573DC8600C2D}"/>
  <tableColumns count="2">
    <tableColumn id="1" xr3:uid="{09BD96D6-196E-4A05-BCC2-4B554C25A690}" name="Country" dataDxfId="11"/>
    <tableColumn id="2" xr3:uid="{84A11B57-BE7D-4BE3-B29C-95F23A8D152D}" name="Debt % GDP" dataDxfId="10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5D32CE-ED94-4AA5-ACBF-B59CA5EAE529}" name="Table3" displayName="Table3" ref="B44:C50" totalsRowShown="0">
  <autoFilter ref="B44:C50" xr:uid="{375D32CE-ED94-4AA5-ACBF-B59CA5EAE529}"/>
  <tableColumns count="2">
    <tableColumn id="1" xr3:uid="{9C68F6A1-9A4C-4E75-9014-8D87E5048D13}" name="Export Category" dataDxfId="7"/>
    <tableColumn id="2" xr3:uid="{580D1A58-828B-4401-B535-3B324A866F18}" name="Share (%)" dataDxfId="6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95F4A7-E91E-464C-9DA3-F02B4361701B}" name="Table4" displayName="Table4" ref="B62:C68" totalsRowShown="0">
  <autoFilter ref="B62:C68" xr:uid="{B395F4A7-E91E-464C-9DA3-F02B4361701B}"/>
  <tableColumns count="2">
    <tableColumn id="1" xr3:uid="{10850E2F-F310-4EF6-86DA-B63EDEA64307}" name="Year" dataDxfId="5"/>
    <tableColumn id="2" xr3:uid="{145365FB-24CA-4072-860C-7413D3B88AE1}" name="FX Reserves (CHF bn)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BB17B5-47AF-4C1E-AA9D-49A6F9FD346D}" name="Table5" displayName="Table5" ref="B81:C84" totalsRowShown="0">
  <autoFilter ref="B81:C84" xr:uid="{1EBB17B5-47AF-4C1E-AA9D-49A6F9FD346D}"/>
  <tableColumns count="2">
    <tableColumn id="1" xr3:uid="{E5C2AA5C-A108-4BA8-93EA-BCCF966CBDD0}" name="Year" dataDxfId="3"/>
    <tableColumn id="2" xr3:uid="{C090CC89-C5A0-4389-9063-FCF4AF017E06}" name="Assets Under Management (USD tn)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BD3F-73B9-4626-8E8F-B843F23EDBDE}" name="Table6" displayName="Table6" ref="B101:C105" totalsRowShown="0">
  <autoFilter ref="B101:C105" xr:uid="{BFB9BD3F-73B9-4626-8E8F-B843F23EDBDE}"/>
  <tableColumns count="2">
    <tableColumn id="1" xr3:uid="{DEF16D30-8208-48FF-B9D5-EA53814179AC}" name="Company" dataDxfId="1"/>
    <tableColumn id="2" xr3:uid="{E76919F3-D397-49B7-A1CD-A8C0818D836B}" name="Weight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FA1C-35F6-4FFF-9901-1BA6124CD52E}">
  <dimension ref="B2:D105"/>
  <sheetViews>
    <sheetView tabSelected="1" zoomScale="108" zoomScaleNormal="115" workbookViewId="0">
      <selection activeCell="N97" sqref="N97"/>
    </sheetView>
  </sheetViews>
  <sheetFormatPr defaultRowHeight="14.4" x14ac:dyDescent="0.3"/>
  <cols>
    <col min="2" max="2" width="16.5546875" customWidth="1"/>
    <col min="3" max="3" width="33.6640625" customWidth="1"/>
    <col min="4" max="4" width="11.6640625" customWidth="1"/>
    <col min="5" max="5" width="9.77734375" customWidth="1"/>
  </cols>
  <sheetData>
    <row r="2" spans="2:4" ht="28.8" x14ac:dyDescent="0.3">
      <c r="B2" s="5" t="s">
        <v>0</v>
      </c>
    </row>
    <row r="5" spans="2:4" x14ac:dyDescent="0.3">
      <c r="B5" s="2" t="s">
        <v>1</v>
      </c>
      <c r="C5" s="2" t="s">
        <v>2</v>
      </c>
      <c r="D5" s="2" t="s">
        <v>3</v>
      </c>
    </row>
    <row r="6" spans="2:4" x14ac:dyDescent="0.3">
      <c r="B6" s="1">
        <v>2020</v>
      </c>
      <c r="C6" s="1">
        <v>-2.5</v>
      </c>
      <c r="D6" s="1">
        <v>-6.1</v>
      </c>
    </row>
    <row r="7" spans="2:4" x14ac:dyDescent="0.3">
      <c r="B7" s="1">
        <v>2021</v>
      </c>
      <c r="C7" s="1">
        <v>4.2</v>
      </c>
      <c r="D7" s="1">
        <v>5.3</v>
      </c>
    </row>
    <row r="8" spans="2:4" x14ac:dyDescent="0.3">
      <c r="B8" s="1">
        <v>2022</v>
      </c>
      <c r="C8" s="1">
        <v>2.6</v>
      </c>
      <c r="D8" s="1">
        <v>3.4</v>
      </c>
    </row>
    <row r="9" spans="2:4" x14ac:dyDescent="0.3">
      <c r="B9" s="1">
        <v>2023</v>
      </c>
      <c r="C9" s="1">
        <v>1.4</v>
      </c>
      <c r="D9" s="1">
        <v>0.4</v>
      </c>
    </row>
    <row r="10" spans="2:4" x14ac:dyDescent="0.3">
      <c r="B10" s="1">
        <v>2024</v>
      </c>
      <c r="C10" s="1">
        <v>1.8</v>
      </c>
      <c r="D10" s="1">
        <v>0.8</v>
      </c>
    </row>
    <row r="11" spans="2:4" x14ac:dyDescent="0.3">
      <c r="B11" s="6"/>
      <c r="C11" s="6"/>
      <c r="D11" s="6"/>
    </row>
    <row r="12" spans="2:4" x14ac:dyDescent="0.3">
      <c r="B12" s="6"/>
      <c r="C12" s="6"/>
      <c r="D12" s="6"/>
    </row>
    <row r="13" spans="2:4" x14ac:dyDescent="0.3">
      <c r="B13" s="6"/>
      <c r="C13" s="6"/>
      <c r="D13" s="6"/>
    </row>
    <row r="23" spans="2:3" x14ac:dyDescent="0.3">
      <c r="B23" s="2" t="s">
        <v>4</v>
      </c>
      <c r="C23" s="2" t="s">
        <v>5</v>
      </c>
    </row>
    <row r="24" spans="2:3" x14ac:dyDescent="0.3">
      <c r="B24" s="3" t="s">
        <v>2</v>
      </c>
      <c r="C24" s="4">
        <v>0.39700000000000002</v>
      </c>
    </row>
    <row r="25" spans="2:3" x14ac:dyDescent="0.3">
      <c r="B25" s="3" t="s">
        <v>6</v>
      </c>
      <c r="C25" s="4">
        <v>1.71</v>
      </c>
    </row>
    <row r="26" spans="2:3" x14ac:dyDescent="0.3">
      <c r="B26" s="3" t="s">
        <v>7</v>
      </c>
      <c r="C26" s="4">
        <v>0.26</v>
      </c>
    </row>
    <row r="27" spans="2:3" x14ac:dyDescent="0.3">
      <c r="B27" s="3" t="s">
        <v>8</v>
      </c>
      <c r="C27" s="4">
        <v>1</v>
      </c>
    </row>
    <row r="28" spans="2:3" x14ac:dyDescent="0.3">
      <c r="B28" s="3" t="s">
        <v>9</v>
      </c>
      <c r="C28" s="4">
        <v>0.63</v>
      </c>
    </row>
    <row r="44" spans="2:3" x14ac:dyDescent="0.3">
      <c r="B44" s="2" t="s">
        <v>10</v>
      </c>
      <c r="C44" s="8" t="s">
        <v>11</v>
      </c>
    </row>
    <row r="45" spans="2:3" x14ac:dyDescent="0.3">
      <c r="B45" s="3" t="s">
        <v>12</v>
      </c>
      <c r="C45" s="9">
        <v>0.41</v>
      </c>
    </row>
    <row r="46" spans="2:3" x14ac:dyDescent="0.3">
      <c r="B46" s="3" t="s">
        <v>13</v>
      </c>
      <c r="C46" s="9">
        <v>0.13</v>
      </c>
    </row>
    <row r="47" spans="2:3" x14ac:dyDescent="0.3">
      <c r="B47" s="3" t="s">
        <v>14</v>
      </c>
      <c r="C47" s="9">
        <v>0.1</v>
      </c>
    </row>
    <row r="48" spans="2:3" x14ac:dyDescent="0.3">
      <c r="B48" s="3" t="s">
        <v>15</v>
      </c>
      <c r="C48" s="9">
        <v>7.0000000000000007E-2</v>
      </c>
    </row>
    <row r="49" spans="2:3" ht="28.8" x14ac:dyDescent="0.3">
      <c r="B49" s="3" t="s">
        <v>16</v>
      </c>
      <c r="C49" s="9">
        <v>0.08</v>
      </c>
    </row>
    <row r="50" spans="2:3" x14ac:dyDescent="0.3">
      <c r="B50" s="3" t="s">
        <v>17</v>
      </c>
      <c r="C50" s="9">
        <v>0.21</v>
      </c>
    </row>
    <row r="62" spans="2:3" ht="28.8" x14ac:dyDescent="0.3">
      <c r="B62" s="2" t="s">
        <v>1</v>
      </c>
      <c r="C62" s="8" t="s">
        <v>18</v>
      </c>
    </row>
    <row r="63" spans="2:3" x14ac:dyDescent="0.3">
      <c r="B63" s="3">
        <v>2020</v>
      </c>
      <c r="C63" s="7">
        <v>999</v>
      </c>
    </row>
    <row r="64" spans="2:3" x14ac:dyDescent="0.3">
      <c r="B64" s="3">
        <v>2021</v>
      </c>
      <c r="C64" s="7">
        <v>1086</v>
      </c>
    </row>
    <row r="65" spans="2:3" x14ac:dyDescent="0.3">
      <c r="B65" s="3">
        <v>2022</v>
      </c>
      <c r="C65" s="7">
        <v>882</v>
      </c>
    </row>
    <row r="66" spans="2:3" x14ac:dyDescent="0.3">
      <c r="B66" s="3">
        <v>2023</v>
      </c>
      <c r="C66" s="7">
        <v>719</v>
      </c>
    </row>
    <row r="67" spans="2:3" x14ac:dyDescent="0.3">
      <c r="B67" s="3">
        <v>2024</v>
      </c>
      <c r="C67" s="7">
        <v>705</v>
      </c>
    </row>
    <row r="68" spans="2:3" x14ac:dyDescent="0.3">
      <c r="B68" s="3">
        <v>2025</v>
      </c>
      <c r="C68" s="10">
        <v>725</v>
      </c>
    </row>
    <row r="81" spans="2:3" ht="28.8" x14ac:dyDescent="0.3">
      <c r="B81" s="2" t="s">
        <v>1</v>
      </c>
      <c r="C81" s="8" t="s">
        <v>19</v>
      </c>
    </row>
    <row r="82" spans="2:3" x14ac:dyDescent="0.3">
      <c r="B82" s="3">
        <v>2022</v>
      </c>
      <c r="C82" s="7">
        <v>3.9</v>
      </c>
    </row>
    <row r="83" spans="2:3" x14ac:dyDescent="0.3">
      <c r="B83" s="3">
        <v>2023</v>
      </c>
      <c r="C83" s="7">
        <v>5.7</v>
      </c>
    </row>
    <row r="84" spans="2:3" x14ac:dyDescent="0.3">
      <c r="B84" s="3">
        <v>2024</v>
      </c>
      <c r="C84" s="7">
        <v>6.1</v>
      </c>
    </row>
    <row r="101" spans="2:3" x14ac:dyDescent="0.3">
      <c r="B101" s="2" t="s">
        <v>20</v>
      </c>
      <c r="C101" s="8" t="s">
        <v>21</v>
      </c>
    </row>
    <row r="102" spans="2:3" x14ac:dyDescent="0.3">
      <c r="B102" s="3" t="s">
        <v>22</v>
      </c>
      <c r="C102" s="7">
        <v>18</v>
      </c>
    </row>
    <row r="103" spans="2:3" x14ac:dyDescent="0.3">
      <c r="B103" s="3" t="s">
        <v>23</v>
      </c>
      <c r="C103" s="7">
        <v>17</v>
      </c>
    </row>
    <row r="104" spans="2:3" x14ac:dyDescent="0.3">
      <c r="B104" s="3" t="s">
        <v>24</v>
      </c>
      <c r="C104" s="7">
        <v>16</v>
      </c>
    </row>
    <row r="105" spans="2:3" ht="28.8" x14ac:dyDescent="0.3">
      <c r="B105" s="3" t="s">
        <v>25</v>
      </c>
      <c r="C105" s="7">
        <v>49</v>
      </c>
    </row>
  </sheetData>
  <pageMargins left="0.7" right="0.7" top="0.75" bottom="0.75" header="0.3" footer="0.3"/>
  <pageSetup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switzerland fin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Mittal</dc:creator>
  <cp:lastModifiedBy>Palak Mittal</cp:lastModifiedBy>
  <cp:lastPrinted>2026-07-13T08:16:37Z</cp:lastPrinted>
  <dcterms:created xsi:type="dcterms:W3CDTF">2026-07-13T07:28:50Z</dcterms:created>
  <dcterms:modified xsi:type="dcterms:W3CDTF">2026-07-13T08:17:00Z</dcterms:modified>
</cp:coreProperties>
</file>