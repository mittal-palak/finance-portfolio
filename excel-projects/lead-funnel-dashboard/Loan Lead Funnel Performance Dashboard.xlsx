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ca3e6b66805a832/Desktop/"/>
    </mc:Choice>
  </mc:AlternateContent>
  <xr:revisionPtr revIDLastSave="0" documentId="8_{4C87FF7D-509C-4FA7-93F6-95B778C0D9F6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raw data" sheetId="8" r:id="rId1"/>
    <sheet name="sorted data" sheetId="1" r:id="rId2"/>
    <sheet name="Your Practice Area" sheetId="2" state="hidden" r:id="rId3"/>
    <sheet name="LEAD FUNNEL DASHBOARD" sheetId="5" r:id="rId4"/>
  </sheets>
  <definedNames>
    <definedName name="_xlcn.WorksheetConnection_Lead_Funnel_Practice_1.xlsxTable21" hidden="1">Table2[]</definedName>
  </definedNames>
  <calcPr calcId="191029" iterateDelta="1E-4"/>
  <pivotCaches>
    <pivotCache cacheId="0" r:id="rId5"/>
    <pivotCache cacheId="1" r:id="rId6"/>
    <pivotCache cacheId="2" r:id="rId7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Lead_Funnel_Practice_1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42" i="5" l="1"/>
  <c r="N47" i="5"/>
  <c r="N51" i="5"/>
  <c r="N50" i="5"/>
  <c r="N49" i="5"/>
  <c r="N48" i="5"/>
  <c r="N46" i="5"/>
  <c r="N45" i="5"/>
  <c r="N44" i="5"/>
  <c r="N43" i="5"/>
  <c r="C10" i="5"/>
  <c r="C13" i="5"/>
  <c r="C11" i="5"/>
  <c r="C12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BE26DF-8EFB-4029-B67C-DE7960B3C21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FE2ED58-E9BF-41F9-96FD-FEB63A6059B5}" name="WorksheetConnection_Lead_Funnel_Practice_1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Lead_Funnel_Practice_1.xlsxTable21"/>
        </x15:connection>
      </ext>
    </extLst>
  </connection>
</connections>
</file>

<file path=xl/sharedStrings.xml><?xml version="1.0" encoding="utf-8"?>
<sst xmlns="http://schemas.openxmlformats.org/spreadsheetml/2006/main" count="3894" uniqueCount="430">
  <si>
    <t>Lead ID</t>
  </si>
  <si>
    <t>Lead Date</t>
  </si>
  <si>
    <t>Source</t>
  </si>
  <si>
    <t>City</t>
  </si>
  <si>
    <t>Employment Type</t>
  </si>
  <si>
    <t>Monthly Salary</t>
  </si>
  <si>
    <t>CIBIL Score</t>
  </si>
  <si>
    <t>Loan Amount Requested</t>
  </si>
  <si>
    <t>Status</t>
  </si>
  <si>
    <t>Rejection Reason</t>
  </si>
  <si>
    <t>LD1001</t>
  </si>
  <si>
    <t>2026-05-07</t>
  </si>
  <si>
    <t>Referral</t>
  </si>
  <si>
    <t>Gurgaon</t>
  </si>
  <si>
    <t>Salaried</t>
  </si>
  <si>
    <t>No Answer</t>
  </si>
  <si>
    <t>LD1002</t>
  </si>
  <si>
    <t>2026-05-14</t>
  </si>
  <si>
    <t>Ahmedabad</t>
  </si>
  <si>
    <t>Fresh Lead</t>
  </si>
  <si>
    <t>LD1003</t>
  </si>
  <si>
    <t>2026-06-04</t>
  </si>
  <si>
    <t>Google Ads - Generic</t>
  </si>
  <si>
    <t>Approved</t>
  </si>
  <si>
    <t>LD1004</t>
  </si>
  <si>
    <t>2026-06-18</t>
  </si>
  <si>
    <t>Organic Search</t>
  </si>
  <si>
    <t>Mumbai</t>
  </si>
  <si>
    <t>Self Employed</t>
  </si>
  <si>
    <t>Disbursed</t>
  </si>
  <si>
    <t>LD1005</t>
  </si>
  <si>
    <t>2026-05-22</t>
  </si>
  <si>
    <t>Jaipur</t>
  </si>
  <si>
    <t>LD1006</t>
  </si>
  <si>
    <t>2026-05-17</t>
  </si>
  <si>
    <t>Google Ads - Brand</t>
  </si>
  <si>
    <t>LD1007</t>
  </si>
  <si>
    <t>2026-06-10</t>
  </si>
  <si>
    <t>Lucknow</t>
  </si>
  <si>
    <t>Rejected</t>
  </si>
  <si>
    <t>Low CIBIL</t>
  </si>
  <si>
    <t>LD1008</t>
  </si>
  <si>
    <t>2026-05-19</t>
  </si>
  <si>
    <t>Facebook Ads</t>
  </si>
  <si>
    <t>Bangalore</t>
  </si>
  <si>
    <t>Not Available</t>
  </si>
  <si>
    <t>Low Salary</t>
  </si>
  <si>
    <t>LD1009</t>
  </si>
  <si>
    <t>2026-05-24</t>
  </si>
  <si>
    <t>Not Eligible</t>
  </si>
  <si>
    <t>Out of Location</t>
  </si>
  <si>
    <t>LD1010</t>
  </si>
  <si>
    <t>2026-05-11</t>
  </si>
  <si>
    <t>Google Ads - Competitor</t>
  </si>
  <si>
    <t>LD1011</t>
  </si>
  <si>
    <t>2026-06-14</t>
  </si>
  <si>
    <t>Interested</t>
  </si>
  <si>
    <t>LD1012</t>
  </si>
  <si>
    <t>2026-05-21</t>
  </si>
  <si>
    <t>LD1013</t>
  </si>
  <si>
    <t>Pune</t>
  </si>
  <si>
    <t>LD1014</t>
  </si>
  <si>
    <t>2026-05-16</t>
  </si>
  <si>
    <t>LD1015</t>
  </si>
  <si>
    <t>LD1016</t>
  </si>
  <si>
    <t>Noida</t>
  </si>
  <si>
    <t>LD1017</t>
  </si>
  <si>
    <t>Existing Customer</t>
  </si>
  <si>
    <t>LD1018</t>
  </si>
  <si>
    <t>2026-06-11</t>
  </si>
  <si>
    <t>Delhi</t>
  </si>
  <si>
    <t>LD1019</t>
  </si>
  <si>
    <t>2026-06-16</t>
  </si>
  <si>
    <t>LD1020</t>
  </si>
  <si>
    <t>2026-06-23</t>
  </si>
  <si>
    <t>LD1021</t>
  </si>
  <si>
    <t>2026-06-19</t>
  </si>
  <si>
    <t>LD1022</t>
  </si>
  <si>
    <t>LD1023</t>
  </si>
  <si>
    <t>LD1024</t>
  </si>
  <si>
    <t>LD1025</t>
  </si>
  <si>
    <t>2026-05-13</t>
  </si>
  <si>
    <t>LD1026</t>
  </si>
  <si>
    <t>2026-05-29</t>
  </si>
  <si>
    <t>Not Interested</t>
  </si>
  <si>
    <t>LD1027</t>
  </si>
  <si>
    <t>2026-05-15</t>
  </si>
  <si>
    <t>LD1028</t>
  </si>
  <si>
    <t>2026-05-03</t>
  </si>
  <si>
    <t>LD1029</t>
  </si>
  <si>
    <t>Documentation Issues</t>
  </si>
  <si>
    <t>LD1030</t>
  </si>
  <si>
    <t>Chandigarh</t>
  </si>
  <si>
    <t>LD1031</t>
  </si>
  <si>
    <t>2026-05-26</t>
  </si>
  <si>
    <t>No Official Email</t>
  </si>
  <si>
    <t>LD1032</t>
  </si>
  <si>
    <t>2026-05-09</t>
  </si>
  <si>
    <t>LD1033</t>
  </si>
  <si>
    <t>LD1034</t>
  </si>
  <si>
    <t>LD1035</t>
  </si>
  <si>
    <t>2026-05-04</t>
  </si>
  <si>
    <t>LD1036</t>
  </si>
  <si>
    <t>2026-05-30</t>
  </si>
  <si>
    <t>LD1037</t>
  </si>
  <si>
    <t>2026-06-07</t>
  </si>
  <si>
    <t>LD1038</t>
  </si>
  <si>
    <t>2026-06-02</t>
  </si>
  <si>
    <t>LD1039</t>
  </si>
  <si>
    <t>2026-06-08</t>
  </si>
  <si>
    <t>LD1040</t>
  </si>
  <si>
    <t>LD1041</t>
  </si>
  <si>
    <t>LD1042</t>
  </si>
  <si>
    <t>2026-05-20</t>
  </si>
  <si>
    <t>LD1043</t>
  </si>
  <si>
    <t>LD1044</t>
  </si>
  <si>
    <t>2026-05-05</t>
  </si>
  <si>
    <t>LD1045</t>
  </si>
  <si>
    <t>LD1046</t>
  </si>
  <si>
    <t>LD1047</t>
  </si>
  <si>
    <t>LD1048</t>
  </si>
  <si>
    <t>2026-06-01</t>
  </si>
  <si>
    <t>LD1049</t>
  </si>
  <si>
    <t>2026-05-01</t>
  </si>
  <si>
    <t>LD1050</t>
  </si>
  <si>
    <t>2026-06-05</t>
  </si>
  <si>
    <t>LD1051</t>
  </si>
  <si>
    <t>LD1052</t>
  </si>
  <si>
    <t>LD1053</t>
  </si>
  <si>
    <t>2026-05-27</t>
  </si>
  <si>
    <t>LD1054</t>
  </si>
  <si>
    <t>2026-05-12</t>
  </si>
  <si>
    <t>LD1055</t>
  </si>
  <si>
    <t>LD1056</t>
  </si>
  <si>
    <t>2026-05-23</t>
  </si>
  <si>
    <t>LD1057</t>
  </si>
  <si>
    <t>2026-05-18</t>
  </si>
  <si>
    <t>LD1058</t>
  </si>
  <si>
    <t>LD1059</t>
  </si>
  <si>
    <t>LD1060</t>
  </si>
  <si>
    <t>2026-05-08</t>
  </si>
  <si>
    <t>LD1061</t>
  </si>
  <si>
    <t>2026-06-03</t>
  </si>
  <si>
    <t>LD1062</t>
  </si>
  <si>
    <t>2026-06-09</t>
  </si>
  <si>
    <t>LD1063</t>
  </si>
  <si>
    <t>LD1064</t>
  </si>
  <si>
    <t>2026-06-17</t>
  </si>
  <si>
    <t>LD1065</t>
  </si>
  <si>
    <t>LD1066</t>
  </si>
  <si>
    <t>LD1067</t>
  </si>
  <si>
    <t>2026-05-06</t>
  </si>
  <si>
    <t>LD1068</t>
  </si>
  <si>
    <t>2026-05-31</t>
  </si>
  <si>
    <t>LD1069</t>
  </si>
  <si>
    <t>LD1070</t>
  </si>
  <si>
    <t>LD1071</t>
  </si>
  <si>
    <t>LD1072</t>
  </si>
  <si>
    <t>2026-05-28</t>
  </si>
  <si>
    <t>LD1073</t>
  </si>
  <si>
    <t>LD1074</t>
  </si>
  <si>
    <t>2026-06-15</t>
  </si>
  <si>
    <t>LD1075</t>
  </si>
  <si>
    <t>LD1076</t>
  </si>
  <si>
    <t>LD1077</t>
  </si>
  <si>
    <t>LD1078</t>
  </si>
  <si>
    <t>LD1079</t>
  </si>
  <si>
    <t>2026-05-02</t>
  </si>
  <si>
    <t>LD1080</t>
  </si>
  <si>
    <t>LD1081</t>
  </si>
  <si>
    <t>LD1082</t>
  </si>
  <si>
    <t>LD1083</t>
  </si>
  <si>
    <t>LD1084</t>
  </si>
  <si>
    <t>LD1085</t>
  </si>
  <si>
    <t>LD1086</t>
  </si>
  <si>
    <t>LD1087</t>
  </si>
  <si>
    <t>2026-06-06</t>
  </si>
  <si>
    <t>LD1088</t>
  </si>
  <si>
    <t>LD1089</t>
  </si>
  <si>
    <t>LD1090</t>
  </si>
  <si>
    <t>LD1091</t>
  </si>
  <si>
    <t>Closed</t>
  </si>
  <si>
    <t>LD1092</t>
  </si>
  <si>
    <t>LD1093</t>
  </si>
  <si>
    <t>LD1094</t>
  </si>
  <si>
    <t>LD1095</t>
  </si>
  <si>
    <t>LD1096</t>
  </si>
  <si>
    <t>LD1097</t>
  </si>
  <si>
    <t>2026-06-20</t>
  </si>
  <si>
    <t>LD1098</t>
  </si>
  <si>
    <t>2026-06-12</t>
  </si>
  <si>
    <t>LD1099</t>
  </si>
  <si>
    <t>LD1100</t>
  </si>
  <si>
    <t>LD1101</t>
  </si>
  <si>
    <t>LD1102</t>
  </si>
  <si>
    <t>LD1103</t>
  </si>
  <si>
    <t>LD1104</t>
  </si>
  <si>
    <t>LD1105</t>
  </si>
  <si>
    <t>LD1106</t>
  </si>
  <si>
    <t>2026-05-10</t>
  </si>
  <si>
    <t>LD1107</t>
  </si>
  <si>
    <t>LD1108</t>
  </si>
  <si>
    <t>LD1109</t>
  </si>
  <si>
    <t>LD1110</t>
  </si>
  <si>
    <t>LD1111</t>
  </si>
  <si>
    <t>LD1112</t>
  </si>
  <si>
    <t>LD1113</t>
  </si>
  <si>
    <t>LD1114</t>
  </si>
  <si>
    <t>LD1115</t>
  </si>
  <si>
    <t>LD1116</t>
  </si>
  <si>
    <t>LD1117</t>
  </si>
  <si>
    <t>LD1118</t>
  </si>
  <si>
    <t>No Payslip</t>
  </si>
  <si>
    <t>LD1119</t>
  </si>
  <si>
    <t>LD1120</t>
  </si>
  <si>
    <t>LD1121</t>
  </si>
  <si>
    <t>LD1122</t>
  </si>
  <si>
    <t>LD1123</t>
  </si>
  <si>
    <t>LD1124</t>
  </si>
  <si>
    <t>LD1125</t>
  </si>
  <si>
    <t>LD1126</t>
  </si>
  <si>
    <t>LD1127</t>
  </si>
  <si>
    <t>LD1128</t>
  </si>
  <si>
    <t>LD1129</t>
  </si>
  <si>
    <t>LD1130</t>
  </si>
  <si>
    <t>LD1131</t>
  </si>
  <si>
    <t>LD1132</t>
  </si>
  <si>
    <t>LD1133</t>
  </si>
  <si>
    <t>LD1134</t>
  </si>
  <si>
    <t>LD1135</t>
  </si>
  <si>
    <t>LD1136</t>
  </si>
  <si>
    <t>2026-06-13</t>
  </si>
  <si>
    <t>LD1137</t>
  </si>
  <si>
    <t>LD1138</t>
  </si>
  <si>
    <t>LD1139</t>
  </si>
  <si>
    <t>LD1140</t>
  </si>
  <si>
    <t>LD1141</t>
  </si>
  <si>
    <t>LD1142</t>
  </si>
  <si>
    <t>LD1143</t>
  </si>
  <si>
    <t>LD1144</t>
  </si>
  <si>
    <t>LD1145</t>
  </si>
  <si>
    <t>LD1146</t>
  </si>
  <si>
    <t>LD1147</t>
  </si>
  <si>
    <t>LD1148</t>
  </si>
  <si>
    <t>LD1149</t>
  </si>
  <si>
    <t>LD1150</t>
  </si>
  <si>
    <t>LD1151</t>
  </si>
  <si>
    <t>LD1152</t>
  </si>
  <si>
    <t>LD1153</t>
  </si>
  <si>
    <t>LD1154</t>
  </si>
  <si>
    <t>LD1155</t>
  </si>
  <si>
    <t>LD1156</t>
  </si>
  <si>
    <t>LD1157</t>
  </si>
  <si>
    <t>LD1158</t>
  </si>
  <si>
    <t>LD1159</t>
  </si>
  <si>
    <t>LD1160</t>
  </si>
  <si>
    <t>LD1161</t>
  </si>
  <si>
    <t>2026-06-22</t>
  </si>
  <si>
    <t>LD1162</t>
  </si>
  <si>
    <t>LD1163</t>
  </si>
  <si>
    <t>LD1164</t>
  </si>
  <si>
    <t>LD1165</t>
  </si>
  <si>
    <t>LD1166</t>
  </si>
  <si>
    <t>LD1167</t>
  </si>
  <si>
    <t>LD1168</t>
  </si>
  <si>
    <t>LD1169</t>
  </si>
  <si>
    <t>LD1170</t>
  </si>
  <si>
    <t>LD1171</t>
  </si>
  <si>
    <t>LD1172</t>
  </si>
  <si>
    <t>LD1173</t>
  </si>
  <si>
    <t>LD1174</t>
  </si>
  <si>
    <t>LD1175</t>
  </si>
  <si>
    <t>LD1176</t>
  </si>
  <si>
    <t>LD1177</t>
  </si>
  <si>
    <t>LD1178</t>
  </si>
  <si>
    <t>LD1179</t>
  </si>
  <si>
    <t>LD1180</t>
  </si>
  <si>
    <t>LD1181</t>
  </si>
  <si>
    <t>LD1182</t>
  </si>
  <si>
    <t>LD1183</t>
  </si>
  <si>
    <t>LD1184</t>
  </si>
  <si>
    <t>LD1185</t>
  </si>
  <si>
    <t>LD1186</t>
  </si>
  <si>
    <t>LD1187</t>
  </si>
  <si>
    <t>LD1188</t>
  </si>
  <si>
    <t>LD1189</t>
  </si>
  <si>
    <t>LD1190</t>
  </si>
  <si>
    <t>LD1191</t>
  </si>
  <si>
    <t>LD1192</t>
  </si>
  <si>
    <t>LD1193</t>
  </si>
  <si>
    <t>LD1194</t>
  </si>
  <si>
    <t>LD1195</t>
  </si>
  <si>
    <t>LD1196</t>
  </si>
  <si>
    <t>LD1197</t>
  </si>
  <si>
    <t>LD1198</t>
  </si>
  <si>
    <t>LD1199</t>
  </si>
  <si>
    <t>LD1200</t>
  </si>
  <si>
    <t>LD1201</t>
  </si>
  <si>
    <t>LD1202</t>
  </si>
  <si>
    <t>LD1203</t>
  </si>
  <si>
    <t>2026-06-21</t>
  </si>
  <si>
    <t>LD1204</t>
  </si>
  <si>
    <t>LD1205</t>
  </si>
  <si>
    <t>LD1206</t>
  </si>
  <si>
    <t>LD1207</t>
  </si>
  <si>
    <t>LD1208</t>
  </si>
  <si>
    <t>LD1209</t>
  </si>
  <si>
    <t>LD1210</t>
  </si>
  <si>
    <t>LD1211</t>
  </si>
  <si>
    <t>LD1212</t>
  </si>
  <si>
    <t>LD1213</t>
  </si>
  <si>
    <t>LD1214</t>
  </si>
  <si>
    <t>LD1215</t>
  </si>
  <si>
    <t>LD1216</t>
  </si>
  <si>
    <t>LD1217</t>
  </si>
  <si>
    <t>LD1218</t>
  </si>
  <si>
    <t>LD1219</t>
  </si>
  <si>
    <t>LD1220</t>
  </si>
  <si>
    <t>LD1221</t>
  </si>
  <si>
    <t>LD1222</t>
  </si>
  <si>
    <t>LD1223</t>
  </si>
  <si>
    <t>LD1224</t>
  </si>
  <si>
    <t>LD1225</t>
  </si>
  <si>
    <t>LD1226</t>
  </si>
  <si>
    <t>LD1227</t>
  </si>
  <si>
    <t>LD1228</t>
  </si>
  <si>
    <t>LD1229</t>
  </si>
  <si>
    <t>LD1230</t>
  </si>
  <si>
    <t>LD1231</t>
  </si>
  <si>
    <t>LD1232</t>
  </si>
  <si>
    <t>LD1233</t>
  </si>
  <si>
    <t>LD1234</t>
  </si>
  <si>
    <t>LD1235</t>
  </si>
  <si>
    <t>LD1236</t>
  </si>
  <si>
    <t>LD1237</t>
  </si>
  <si>
    <t>LD1238</t>
  </si>
  <si>
    <t>LD1239</t>
  </si>
  <si>
    <t>LD1240</t>
  </si>
  <si>
    <t>LD1241</t>
  </si>
  <si>
    <t>LD1242</t>
  </si>
  <si>
    <t>LD1243</t>
  </si>
  <si>
    <t>LD1244</t>
  </si>
  <si>
    <t>LD1245</t>
  </si>
  <si>
    <t>LD1246</t>
  </si>
  <si>
    <t>LD1247</t>
  </si>
  <si>
    <t>LD1248</t>
  </si>
  <si>
    <t>LD1249</t>
  </si>
  <si>
    <t>LD1250</t>
  </si>
  <si>
    <t>LD1251</t>
  </si>
  <si>
    <t>LD1252</t>
  </si>
  <si>
    <t>LD1253</t>
  </si>
  <si>
    <t>LD1254</t>
  </si>
  <si>
    <t>LD1255</t>
  </si>
  <si>
    <t>LD1256</t>
  </si>
  <si>
    <t>LD1257</t>
  </si>
  <si>
    <t>LD1258</t>
  </si>
  <si>
    <t>LD1259</t>
  </si>
  <si>
    <t>LD1260</t>
  </si>
  <si>
    <t>LD1261</t>
  </si>
  <si>
    <t>LD1262</t>
  </si>
  <si>
    <t>LD1263</t>
  </si>
  <si>
    <t>LD1264</t>
  </si>
  <si>
    <t>LD1265</t>
  </si>
  <si>
    <t>LD1266</t>
  </si>
  <si>
    <t>LD1267</t>
  </si>
  <si>
    <t>LD1268</t>
  </si>
  <si>
    <t>LD1269</t>
  </si>
  <si>
    <t>LD1270</t>
  </si>
  <si>
    <t>LD1271</t>
  </si>
  <si>
    <t>LD1272</t>
  </si>
  <si>
    <t>LD1273</t>
  </si>
  <si>
    <t>LD1274</t>
  </si>
  <si>
    <t>LD1275</t>
  </si>
  <si>
    <t>LD1276</t>
  </si>
  <si>
    <t>LD1277</t>
  </si>
  <si>
    <t>LD1278</t>
  </si>
  <si>
    <t>LD1279</t>
  </si>
  <si>
    <t>LD1280</t>
  </si>
  <si>
    <t>LD1281</t>
  </si>
  <si>
    <t>LD1282</t>
  </si>
  <si>
    <t>LD1283</t>
  </si>
  <si>
    <t>LD1284</t>
  </si>
  <si>
    <t>LD1285</t>
  </si>
  <si>
    <t>LD1286</t>
  </si>
  <si>
    <t>LD1287</t>
  </si>
  <si>
    <t>LD1288</t>
  </si>
  <si>
    <t>LD1289</t>
  </si>
  <si>
    <t>LD1290</t>
  </si>
  <si>
    <t>LD1291</t>
  </si>
  <si>
    <t>LD1292</t>
  </si>
  <si>
    <t>LD1293</t>
  </si>
  <si>
    <t>LD1294</t>
  </si>
  <si>
    <t>LD1295</t>
  </si>
  <si>
    <t>LD1296</t>
  </si>
  <si>
    <t>LD1297</t>
  </si>
  <si>
    <t>LD1298</t>
  </si>
  <si>
    <t>LD1299</t>
  </si>
  <si>
    <t>LD1300</t>
  </si>
  <si>
    <t>PRACTICE AREA — Build These Yourself</t>
  </si>
  <si>
    <t>Use 'Raw Lead Data' sheet as your source. Try building each of these before checking the 'Answer Key Dashboard' sheet.</t>
  </si>
  <si>
    <t>Task 1: Lead Count by Status</t>
  </si>
  <si>
    <t>Use COUNTIF on the Status column. Try: =COUNTIF('Raw Lead Data'!I:I, "Disbursed")</t>
  </si>
  <si>
    <t>Task 2: Rejection Reason Breakdown</t>
  </si>
  <si>
    <t>Use COUNTIF on Rejection Reason column for each reason (Low CIBIL, Low Salary, etc.)</t>
  </si>
  <si>
    <t>Task 3: Conversion Rate</t>
  </si>
  <si>
    <t>Disbursed count / Total leads. Format as percentage.</t>
  </si>
  <si>
    <t>Task 4: Average Salary of Disbursed vs Rejected leads</t>
  </si>
  <si>
    <t>Use AVERAGEIF: =AVERAGEIF(Status column, "Disbursed", Salary column)</t>
  </si>
  <si>
    <t>Task 5: Lead Count by Source</t>
  </si>
  <si>
    <t>Use a Pivot Table (Insert &gt; PivotTable) with Source as rows, count of Lead ID as values</t>
  </si>
  <si>
    <t>Task 6: Build one chart</t>
  </si>
  <si>
    <t>Insert &gt; Chart, pick a bar chart, visualize lead count by status</t>
  </si>
  <si>
    <t>TOTAL LEAD</t>
  </si>
  <si>
    <t>REJECTED</t>
  </si>
  <si>
    <t>DISBURSED</t>
  </si>
  <si>
    <t>DISBURSAL RATE</t>
  </si>
  <si>
    <t>LEAD COUNT BY STATUS</t>
  </si>
  <si>
    <t>LEAD COUNT BY SOURCE</t>
  </si>
  <si>
    <t>(blank)</t>
  </si>
  <si>
    <t>Grand Total</t>
  </si>
  <si>
    <t>Count of Lead ID</t>
  </si>
  <si>
    <t>REJECTION REASON</t>
  </si>
  <si>
    <t>CITY</t>
  </si>
  <si>
    <t>APPLICATION STATUS</t>
  </si>
  <si>
    <t>DROP OFF STAGE</t>
  </si>
  <si>
    <t>Row Labels</t>
  </si>
  <si>
    <t>CITY-LOAN MATRIX</t>
  </si>
  <si>
    <t>CITY WISE</t>
  </si>
  <si>
    <t>Average of Monthly Salary</t>
  </si>
  <si>
    <t>EXECUTIVE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</si>
</sst>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4E78"/>
      <name val="Arial"/>
      <family val="2"/>
    </font>
    <font>
      <i/>
      <sz val="10"/>
      <color rgb="FF666666"/>
      <name val="Arial"/>
      <family val="2"/>
    </font>
    <font>
      <b/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1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2"/>
      <color rgb="FF9C0006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5">
    <xf numFmtId="0" fontId="0" fillId="0" borderId="0"/>
    <xf numFmtId="0" fontId="8" fillId="3" borderId="3" applyNumberFormat="0" applyAlignment="0" applyProtection="0"/>
    <xf numFmtId="0" fontId="9" fillId="0" borderId="4" applyNumberFormat="0" applyFill="0" applyAlignment="0" applyProtection="0"/>
    <xf numFmtId="9" fontId="10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2" fillId="0" borderId="1" xfId="0" applyFont="1" applyBorder="1"/>
    <xf numFmtId="3" fontId="12" fillId="0" borderId="1" xfId="0" applyNumberFormat="1" applyFont="1" applyBorder="1"/>
    <xf numFmtId="0" fontId="12" fillId="0" borderId="2" xfId="0" applyFont="1" applyBorder="1"/>
    <xf numFmtId="3" fontId="12" fillId="0" borderId="2" xfId="0" applyNumberFormat="1" applyFont="1" applyBorder="1"/>
    <xf numFmtId="0" fontId="14" fillId="0" borderId="4" xfId="2" applyFont="1" applyAlignment="1">
      <alignment horizontal="center" vertical="center" wrapText="1"/>
    </xf>
    <xf numFmtId="0" fontId="15" fillId="3" borderId="3" xfId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8" fillId="3" borderId="3" xfId="1" applyFont="1" applyAlignment="1">
      <alignment horizontal="center" vertical="center" wrapText="1"/>
    </xf>
    <xf numFmtId="9" fontId="19" fillId="3" borderId="3" xfId="4" applyNumberFormat="1" applyFont="1" applyFill="1" applyBorder="1" applyAlignment="1">
      <alignment horizontal="center" vertical="center" wrapText="1"/>
    </xf>
    <xf numFmtId="0" fontId="20" fillId="3" borderId="3" xfId="1" applyFont="1" applyAlignment="1">
      <alignment horizontal="center" vertical="center" wrapText="1"/>
    </xf>
    <xf numFmtId="0" fontId="14" fillId="0" borderId="0" xfId="2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6" fillId="0" borderId="0" xfId="0" pivotButton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9" fontId="16" fillId="0" borderId="0" xfId="3" applyFont="1" applyFill="1" applyAlignment="1">
      <alignment horizontal="center" vertical="center" wrapText="1"/>
    </xf>
    <xf numFmtId="9" fontId="16" fillId="0" borderId="0" xfId="3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3" fillId="0" borderId="0" xfId="0" applyFont="1" applyAlignment="1">
      <alignment horizontal="left" vertical="center" wrapText="1"/>
    </xf>
  </cellXfs>
  <cellStyles count="5">
    <cellStyle name="Calculation" xfId="1" builtinId="22"/>
    <cellStyle name="Explanatory Text" xfId="4" builtinId="53"/>
    <cellStyle name="Normal" xfId="0" builtinId="0"/>
    <cellStyle name="Percent" xfId="3" builtinId="5"/>
    <cellStyle name="Total" xfId="2" builtinId="25"/>
  </cellStyles>
  <dxfs count="2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" formatCode="#,##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5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C0C0C0"/>
      <rgbColor rgb="FF878787"/>
      <rgbColor rgb="FF93A9CE"/>
      <rgbColor rgb="FFAB4744"/>
      <rgbColor rgb="FFF9F9F9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33A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LEAD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'LEAD FUNNEL DASHBOARD'!$B$17:$B$25</c:f>
              <c:strCache>
                <c:ptCount val="9"/>
                <c:pt idx="0">
                  <c:v>Approved</c:v>
                </c:pt>
                <c:pt idx="1">
                  <c:v>Closed</c:v>
                </c:pt>
                <c:pt idx="2">
                  <c:v>Disbursed</c:v>
                </c:pt>
                <c:pt idx="3">
                  <c:v>Fresh Lead</c:v>
                </c:pt>
                <c:pt idx="4">
                  <c:v>Interested</c:v>
                </c:pt>
                <c:pt idx="5">
                  <c:v>No Answer</c:v>
                </c:pt>
                <c:pt idx="6">
                  <c:v>Not Eligible</c:v>
                </c:pt>
                <c:pt idx="7">
                  <c:v>Not Interested</c:v>
                </c:pt>
                <c:pt idx="8">
                  <c:v>Rejected</c:v>
                </c:pt>
              </c:strCache>
            </c:strRef>
          </c:cat>
          <c:val>
            <c:numRef>
              <c:f>'LEAD FUNNEL DASHBOARD'!$C$17:$C$25</c:f>
              <c:numCache>
                <c:formatCode>General</c:formatCode>
                <c:ptCount val="9"/>
                <c:pt idx="0">
                  <c:v>14</c:v>
                </c:pt>
                <c:pt idx="1">
                  <c:v>11</c:v>
                </c:pt>
                <c:pt idx="2">
                  <c:v>75</c:v>
                </c:pt>
                <c:pt idx="3">
                  <c:v>11</c:v>
                </c:pt>
                <c:pt idx="4">
                  <c:v>45</c:v>
                </c:pt>
                <c:pt idx="5">
                  <c:v>47</c:v>
                </c:pt>
                <c:pt idx="6">
                  <c:v>28</c:v>
                </c:pt>
                <c:pt idx="7">
                  <c:v>30</c:v>
                </c:pt>
                <c:pt idx="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B-4C0D-8498-AD9119D4AA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1885709199"/>
        <c:axId val="1885709679"/>
        <c:axId val="0"/>
      </c:bar3DChart>
      <c:catAx>
        <c:axId val="1885709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09679"/>
        <c:crosses val="autoZero"/>
        <c:auto val="1"/>
        <c:lblAlgn val="ctr"/>
        <c:lblOffset val="100"/>
        <c:noMultiLvlLbl val="0"/>
      </c:catAx>
      <c:valAx>
        <c:axId val="188570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70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[Loan Lead Funnel Performance Dashboard.xlsx]LEAD FUNNEL DASHBOARD!PivotTable7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shade val="47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>
              <a:shade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2">
              <a:shade val="82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2">
              <a:tint val="83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2">
              <a:tint val="65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2">
              <a:tint val="48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'LEAD FUNNEL DASHBOARD'!$F$16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4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87E-4D67-AD15-6052D55B4D5E}"/>
              </c:ext>
            </c:extLst>
          </c:dPt>
          <c:dPt>
            <c:idx val="1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87E-4D67-AD15-6052D55B4D5E}"/>
              </c:ext>
            </c:extLst>
          </c:dPt>
          <c:dPt>
            <c:idx val="2"/>
            <c:bubble3D val="0"/>
            <c:spPr>
              <a:solidFill>
                <a:schemeClr val="accent2">
                  <a:shade val="82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87E-4D67-AD15-6052D55B4D5E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87E-4D67-AD15-6052D55B4D5E}"/>
              </c:ext>
            </c:extLst>
          </c:dPt>
          <c:dPt>
            <c:idx val="4"/>
            <c:bubble3D val="0"/>
            <c:spPr>
              <a:solidFill>
                <a:schemeClr val="accent2">
                  <a:tint val="83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87E-4D67-AD15-6052D55B4D5E}"/>
              </c:ext>
            </c:extLst>
          </c:dPt>
          <c:dPt>
            <c:idx val="5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87E-4D67-AD15-6052D55B4D5E}"/>
              </c:ext>
            </c:extLst>
          </c:dPt>
          <c:dPt>
            <c:idx val="6"/>
            <c:bubble3D val="0"/>
            <c:spPr>
              <a:solidFill>
                <a:schemeClr val="accent2">
                  <a:tint val="48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87E-4D67-AD15-6052D55B4D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'LEAD FUNNEL DASHBOARD'!$E$17:$E$24</c:f>
              <c:strCache>
                <c:ptCount val="7"/>
                <c:pt idx="0">
                  <c:v>Facebook Ads</c:v>
                </c:pt>
                <c:pt idx="1">
                  <c:v>Google Ads - Brand</c:v>
                </c:pt>
                <c:pt idx="2">
                  <c:v>Google Ads - Competitor</c:v>
                </c:pt>
                <c:pt idx="3">
                  <c:v>Google Ads - Generic</c:v>
                </c:pt>
                <c:pt idx="4">
                  <c:v>Organic Search</c:v>
                </c:pt>
                <c:pt idx="5">
                  <c:v>Referral</c:v>
                </c:pt>
                <c:pt idx="6">
                  <c:v>(blank)</c:v>
                </c:pt>
              </c:strCache>
            </c:strRef>
          </c:cat>
          <c:val>
            <c:numRef>
              <c:f>'LEAD FUNNEL DASHBOARD'!$F$17:$F$24</c:f>
              <c:numCache>
                <c:formatCode>General</c:formatCode>
                <c:ptCount val="7"/>
                <c:pt idx="0">
                  <c:v>63</c:v>
                </c:pt>
                <c:pt idx="1">
                  <c:v>45</c:v>
                </c:pt>
                <c:pt idx="2">
                  <c:v>58</c:v>
                </c:pt>
                <c:pt idx="3">
                  <c:v>47</c:v>
                </c:pt>
                <c:pt idx="4">
                  <c:v>41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0-4636-A297-05A107DA446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 flip="none" rotWithShape="1"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10800000" scaled="1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</xdr:colOff>
      <xdr:row>8</xdr:row>
      <xdr:rowOff>156210</xdr:rowOff>
    </xdr:from>
    <xdr:to>
      <xdr:col>13</xdr:col>
      <xdr:colOff>365760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5BE8C-F879-B6E5-3C36-559E32289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11373</xdr:colOff>
      <xdr:row>54</xdr:row>
      <xdr:rowOff>45493</xdr:rowOff>
    </xdr:from>
    <xdr:to>
      <xdr:col>13</xdr:col>
      <xdr:colOff>933062</xdr:colOff>
      <xdr:row>57</xdr:row>
      <xdr:rowOff>138546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CED33EF-6027-5F08-8495-88A363CDD9E3}"/>
            </a:ext>
          </a:extLst>
        </xdr:cNvPr>
        <xdr:cNvSpPr txBox="1"/>
      </xdr:nvSpPr>
      <xdr:spPr>
        <a:xfrm>
          <a:off x="617863" y="9049534"/>
          <a:ext cx="14342219" cy="65289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City-level analysis reveals different conversion patterns: Noida converts best (11 Disbursed, ~24%), while</a:t>
          </a:r>
          <a:r>
            <a:rPr lang="en-IN" sz="1400" b="1" baseline="0"/>
            <a:t> Pune </a:t>
          </a:r>
          <a:r>
            <a:rPr lang="en-IN" sz="1400" b="1"/>
            <a:t>underperforms sharply ( 12% Disbursed).</a:t>
          </a:r>
          <a:r>
            <a:rPr lang="en-IN" sz="1400" b="1" baseline="0"/>
            <a:t> It </a:t>
          </a:r>
          <a:r>
            <a:rPr lang="en-IN" sz="1400" b="1"/>
            <a:t>lags</a:t>
          </a:r>
          <a:r>
            <a:rPr lang="en-IN" sz="1400" b="1" baseline="0"/>
            <a:t> </a:t>
          </a:r>
          <a:r>
            <a:rPr lang="en-IN" sz="1400" b="1"/>
            <a:t>due to eligibility/rejection issues rather than disengagement. This suggests drop-off causes differ by city and may need city-specific intervention rather than one nationwide fix</a:t>
          </a:r>
        </a:p>
      </xdr:txBody>
    </xdr:sp>
    <xdr:clientData/>
  </xdr:twoCellAnchor>
  <xdr:twoCellAnchor>
    <xdr:from>
      <xdr:col>6</xdr:col>
      <xdr:colOff>134866</xdr:colOff>
      <xdr:row>23</xdr:row>
      <xdr:rowOff>142285</xdr:rowOff>
    </xdr:from>
    <xdr:to>
      <xdr:col>12</xdr:col>
      <xdr:colOff>681079</xdr:colOff>
      <xdr:row>37</xdr:row>
      <xdr:rowOff>94407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598C05-6C74-F9B9-1EDF-3A419DBF7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9408</xdr:colOff>
      <xdr:row>1</xdr:row>
      <xdr:rowOff>169333</xdr:rowOff>
    </xdr:from>
    <xdr:to>
      <xdr:col>6</xdr:col>
      <xdr:colOff>874888</xdr:colOff>
      <xdr:row>6</xdr:row>
      <xdr:rowOff>164123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451A34-8735-00D6-3C7E-64E32DD22890}"/>
            </a:ext>
          </a:extLst>
        </xdr:cNvPr>
        <xdr:cNvSpPr txBox="1"/>
      </xdr:nvSpPr>
      <xdr:spPr>
        <a:xfrm>
          <a:off x="619008" y="368625"/>
          <a:ext cx="9599172" cy="991252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• Processed </a:t>
          </a:r>
          <a:r>
            <a:rPr lang="en-IN" b="1"/>
            <a:t>300</a:t>
          </a:r>
          <a:r>
            <a:rPr lang="en-IN"/>
            <a:t> leads during the analysis period.</a:t>
          </a:r>
        </a:p>
        <a:p>
          <a:r>
            <a:rPr lang="en-IN"/>
            <a:t>• Overall disbursal rate stood at </a:t>
          </a:r>
          <a:r>
            <a:rPr lang="en-IN" b="1"/>
            <a:t>25%</a:t>
          </a:r>
          <a:r>
            <a:rPr lang="en-IN"/>
            <a:t>.</a:t>
          </a:r>
        </a:p>
        <a:p>
          <a:r>
            <a:rPr lang="en-IN"/>
            <a:t>• </a:t>
          </a:r>
          <a:r>
            <a:rPr lang="en-IN" b="1"/>
            <a:t>Facebook Ads</a:t>
          </a:r>
          <a:r>
            <a:rPr lang="en-IN"/>
            <a:t> generated the highest lead volume.</a:t>
          </a:r>
        </a:p>
        <a:p>
          <a:r>
            <a:rPr lang="en-IN"/>
            <a:t>• </a:t>
          </a:r>
          <a:r>
            <a:rPr lang="en-IN" b="1"/>
            <a:t>Pune</a:t>
          </a:r>
          <a:r>
            <a:rPr lang="en-IN"/>
            <a:t> recorded the weakest conversion rate, indicating city-specific operational challenges.</a:t>
          </a:r>
        </a:p>
        <a:p>
          <a:r>
            <a:rPr lang="en-IN"/>
            <a:t>• Documentation issues and low CIBIL scores were major rejection drivers.</a:t>
          </a:r>
        </a:p>
        <a:p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AK" refreshedDate="46198.475221412038" createdVersion="8" refreshedVersion="8" minRefreshableVersion="3" recordCount="302" xr:uid="{44B7698D-21FB-4ACA-A3AA-0457E76A0D54}">
  <cacheSource type="worksheet">
    <worksheetSource ref="A1:J1048576" sheet="sorted data"/>
  </cacheSource>
  <cacheFields count="10">
    <cacheField name="Lead ID" numFmtId="0">
      <sharedItems containsBlank="1"/>
    </cacheField>
    <cacheField name="Lead Date" numFmtId="0">
      <sharedItems containsBlank="1"/>
    </cacheField>
    <cacheField name="Source" numFmtId="0">
      <sharedItems containsBlank="1"/>
    </cacheField>
    <cacheField name="City" numFmtId="0">
      <sharedItems containsBlank="1" count="11">
        <s v="Bangalore"/>
        <s v="Pune"/>
        <s v="Lucknow"/>
        <s v="Gurgaon"/>
        <s v="Ahmedabad"/>
        <s v="Chandigarh"/>
        <s v="Jaipur"/>
        <s v="Delhi"/>
        <s v="Noida"/>
        <s v="Mumbai"/>
        <m/>
      </sharedItems>
    </cacheField>
    <cacheField name="Employment Type" numFmtId="0">
      <sharedItems containsBlank="1"/>
    </cacheField>
    <cacheField name="Monthly Salary" numFmtId="0">
      <sharedItems containsString="0" containsBlank="1" containsNumber="1" containsInteger="1" minValue="15000" maxValue="65000"/>
    </cacheField>
    <cacheField name="CIBIL Score" numFmtId="0">
      <sharedItems containsBlank="1" containsMixedTypes="1" containsNumber="1" containsInteger="1" minValue="580" maxValue="800"/>
    </cacheField>
    <cacheField name="Loan Amount Requested" numFmtId="0">
      <sharedItems containsString="0" containsBlank="1" containsNumber="1" containsInteger="1" minValue="50000" maxValue="300000"/>
    </cacheField>
    <cacheField name="Status" numFmtId="0">
      <sharedItems containsBlank="1" count="10">
        <s v="Approved"/>
        <s v="Closed"/>
        <s v="Disbursed"/>
        <s v="Fresh Lead"/>
        <s v="Interested"/>
        <s v="No Answer"/>
        <s v="Not Eligible"/>
        <s v="Not Interested"/>
        <s v="Rejected"/>
        <m/>
      </sharedItems>
    </cacheField>
    <cacheField name="Rejection Reason" numFmtId="0">
      <sharedItems containsBlank="1" count="9">
        <m/>
        <s v="Documentation Issues"/>
        <s v="Existing Customer"/>
        <s v="Low Salary"/>
        <s v="No Official Email"/>
        <s v="Out of Location"/>
        <s v="Low CIBIL"/>
        <s v="No Payslip"/>
        <s v="Self Employ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AK" refreshedDate="46198.626579282405" createdVersion="8" refreshedVersion="8" minRefreshableVersion="3" recordCount="302" xr:uid="{4C02A02D-9E44-43C3-BCD5-D543A3D8F50D}">
  <cacheSource type="worksheet">
    <worksheetSource ref="A1:K1048576" sheet="sorted data"/>
  </cacheSource>
  <cacheFields count="11">
    <cacheField name="Lead ID" numFmtId="0">
      <sharedItems containsBlank="1"/>
    </cacheField>
    <cacheField name="Lead Date" numFmtId="0">
      <sharedItems containsBlank="1"/>
    </cacheField>
    <cacheField name="Source" numFmtId="0">
      <sharedItems containsBlank="1" count="7">
        <s v="Google Ads - Generic"/>
        <s v="Organic Search"/>
        <s v="Facebook Ads"/>
        <s v="Google Ads - Competitor"/>
        <s v="Google Ads - Brand"/>
        <s v="Referral"/>
        <m/>
      </sharedItems>
    </cacheField>
    <cacheField name="City" numFmtId="0">
      <sharedItems containsBlank="1"/>
    </cacheField>
    <cacheField name="Employment Type" numFmtId="0">
      <sharedItems containsBlank="1" count="3">
        <s v="Salaried"/>
        <s v="Self Employed"/>
        <m/>
      </sharedItems>
    </cacheField>
    <cacheField name="Monthly Salary" numFmtId="0">
      <sharedItems containsString="0" containsBlank="1" containsNumber="1" containsInteger="1" minValue="15000" maxValue="65000"/>
    </cacheField>
    <cacheField name="CIBIL Score" numFmtId="0">
      <sharedItems containsBlank="1" containsMixedTypes="1" containsNumber="1" containsInteger="1" minValue="580" maxValue="800"/>
    </cacheField>
    <cacheField name="Loan Amount Requested" numFmtId="0">
      <sharedItems containsString="0" containsBlank="1" containsNumber="1" containsInteger="1" minValue="50000" maxValue="300000"/>
    </cacheField>
    <cacheField name="Status" numFmtId="0">
      <sharedItems containsBlank="1" count="10">
        <s v="Approved"/>
        <s v="Closed"/>
        <s v="Disbursed"/>
        <s v="Fresh Lead"/>
        <s v="Interested"/>
        <s v="No Answer"/>
        <s v="Not Eligible"/>
        <s v="Not Interested"/>
        <s v="Rejected"/>
        <m/>
      </sharedItems>
    </cacheField>
    <cacheField name="Rejection Reason" numFmtId="0">
      <sharedItems containsBlank="1"/>
    </cacheField>
    <cacheField name="DROP OFF STAG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LAK" refreshedDate="46203.693369444445" backgroundQuery="1" createdVersion="8" refreshedVersion="8" minRefreshableVersion="3" recordCount="0" supportSubquery="1" supportAdvancedDrill="1" xr:uid="{CDE397A7-C840-4203-B894-13C8E7C87FF6}">
  <cacheSource type="external" connectionId="1"/>
  <cacheFields count="2">
    <cacheField name="[Table2].[Status].[Status]" caption="Status" numFmtId="0" hierarchy="8" level="1">
      <sharedItems count="9">
        <s v="Approved"/>
        <s v="Closed"/>
        <s v="Disbursed"/>
        <s v="Fresh Lead"/>
        <s v="Interested"/>
        <s v="No Answer"/>
        <s v="Not Eligible"/>
        <s v="Not Interested"/>
        <s v="Rejected"/>
      </sharedItems>
    </cacheField>
    <cacheField name="[Measures].[Average of Monthly Salary]" caption="Average of Monthly Salary" numFmtId="0" hierarchy="14" level="32767"/>
  </cacheFields>
  <cacheHierarchies count="15">
    <cacheHierarchy uniqueName="[Table2].[Lead ID]" caption="Lead ID" attribute="1" defaultMemberUniqueName="[Table2].[Lead ID].[All]" allUniqueName="[Table2].[Lead ID].[All]" dimensionUniqueName="[Table2]" displayFolder="" count="0" memberValueDatatype="130" unbalanced="0"/>
    <cacheHierarchy uniqueName="[Table2].[Lead Date]" caption="Lead Date" attribute="1" defaultMemberUniqueName="[Table2].[Lead Date].[All]" allUniqueName="[Table2].[Lead Date].[All]" dimensionUniqueName="[Table2]" displayFolder="" count="0" memberValueDatatype="130" unbalanced="0"/>
    <cacheHierarchy uniqueName="[Table2].[Source]" caption="Source" attribute="1" defaultMemberUniqueName="[Table2].[Source].[All]" allUniqueName="[Table2].[Source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Employment Type]" caption="Employment Type" attribute="1" defaultMemberUniqueName="[Table2].[Employment Type].[All]" allUniqueName="[Table2].[Employment Type].[All]" dimensionUniqueName="[Table2]" displayFolder="" count="0" memberValueDatatype="130" unbalanced="0"/>
    <cacheHierarchy uniqueName="[Table2].[Monthly Salary]" caption="Monthly Salary" attribute="1" defaultMemberUniqueName="[Table2].[Monthly Salary].[All]" allUniqueName="[Table2].[Monthly Salary].[All]" dimensionUniqueName="[Table2]" displayFolder="" count="0" memberValueDatatype="20" unbalanced="0"/>
    <cacheHierarchy uniqueName="[Table2].[CIBIL Score]" caption="CIBIL Score" attribute="1" defaultMemberUniqueName="[Table2].[CIBIL Score].[All]" allUniqueName="[Table2].[CIBIL Score].[All]" dimensionUniqueName="[Table2]" displayFolder="" count="0" memberValueDatatype="130" unbalanced="0"/>
    <cacheHierarchy uniqueName="[Table2].[Loan Amount Requested]" caption="Loan Amount Requested" attribute="1" defaultMemberUniqueName="[Table2].[Loan Amount Requested].[All]" allUniqueName="[Table2].[Loan Amount Requested].[All]" dimensionUniqueName="[Table2]" displayFolder="" count="0" memberValueDatatype="20" unbalanced="0"/>
    <cacheHierarchy uniqueName="[Table2].[Status]" caption="Status" attribute="1" defaultMemberUniqueName="[Table2].[Status].[All]" allUniqueName="[Table2].[Status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Rejection Reason]" caption="Rejection Reason" attribute="1" defaultMemberUniqueName="[Table2].[Rejection Reason].[All]" allUniqueName="[Table2].[Rejection Reason].[All]" dimensionUniqueName="[Table2]" displayFolder="" count="0" memberValueDatatype="130" unbalanced="0"/>
    <cacheHierarchy uniqueName="[Table2].[DROP OFF STAGE]" caption="DROP OFF STAGE" attribute="1" defaultMemberUniqueName="[Table2].[DROP OFF STAGE].[All]" allUniqueName="[Table2].[DROP OFF STAGE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Monthly Salary]" caption="Sum of Monthly Salary" measure="1" displayFolder="" measureGroup="Table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Monthly Salary]" caption="Average of Monthly Salary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s v="LD1276"/>
    <s v="2026-06-07"/>
    <s v="Facebook Ads"/>
    <x v="0"/>
    <s v="Salaried"/>
    <n v="35000"/>
    <n v="780"/>
    <n v="100000"/>
    <x v="0"/>
    <x v="0"/>
  </r>
  <r>
    <s v="LD1285"/>
    <s v="2026-06-15"/>
    <s v="Facebook Ads"/>
    <x v="1"/>
    <s v="Salaried"/>
    <n v="28000"/>
    <n v="670"/>
    <n v="250000"/>
    <x v="0"/>
    <x v="0"/>
  </r>
  <r>
    <s v="LD1149"/>
    <s v="2026-05-19"/>
    <s v="Google Ads - Competitor"/>
    <x v="2"/>
    <s v="Salaried"/>
    <n v="55000"/>
    <n v="700"/>
    <n v="50000"/>
    <x v="0"/>
    <x v="0"/>
  </r>
  <r>
    <s v="LD1205"/>
    <s v="2026-06-03"/>
    <s v="Google Ads - Competitor"/>
    <x v="3"/>
    <s v="Salaried"/>
    <n v="15000"/>
    <n v="650"/>
    <n v="150000"/>
    <x v="0"/>
    <x v="0"/>
  </r>
  <r>
    <s v="LD1248"/>
    <s v="2026-05-13"/>
    <s v="Google Ads - Competitor"/>
    <x v="2"/>
    <s v="Salaried"/>
    <n v="55000"/>
    <n v="670"/>
    <n v="150000"/>
    <x v="0"/>
    <x v="0"/>
  </r>
  <r>
    <s v="LD1003"/>
    <s v="2026-06-04"/>
    <s v="Google Ads - Generic"/>
    <x v="4"/>
    <s v="Salaried"/>
    <n v="45000"/>
    <n v="650"/>
    <n v="250000"/>
    <x v="0"/>
    <x v="0"/>
  </r>
  <r>
    <s v="LD1061"/>
    <s v="2026-06-03"/>
    <s v="Organic Search"/>
    <x v="5"/>
    <s v="Salaried"/>
    <n v="28000"/>
    <s v="Not Available"/>
    <n v="50000"/>
    <x v="0"/>
    <x v="0"/>
  </r>
  <r>
    <s v="LD1097"/>
    <s v="2026-06-20"/>
    <s v="Organic Search"/>
    <x v="4"/>
    <s v="Salaried"/>
    <n v="40000"/>
    <n v="800"/>
    <n v="150000"/>
    <x v="0"/>
    <x v="0"/>
  </r>
  <r>
    <s v="LD1115"/>
    <s v="2026-05-26"/>
    <s v="Facebook Ads"/>
    <x v="1"/>
    <s v="Self Employed"/>
    <n v="18000"/>
    <n v="740"/>
    <n v="250000"/>
    <x v="0"/>
    <x v="0"/>
  </r>
  <r>
    <s v="LD1098"/>
    <s v="2026-06-12"/>
    <s v="Google Ads - Brand"/>
    <x v="3"/>
    <s v="Self Employed"/>
    <n v="25000"/>
    <n v="720"/>
    <n v="100000"/>
    <x v="0"/>
    <x v="0"/>
  </r>
  <r>
    <s v="LD1220"/>
    <s v="2026-05-08"/>
    <s v="Google Ads - Brand"/>
    <x v="2"/>
    <s v="Self Employed"/>
    <n v="45000"/>
    <n v="580"/>
    <n v="200000"/>
    <x v="0"/>
    <x v="0"/>
  </r>
  <r>
    <s v="LD1144"/>
    <s v="2026-05-20"/>
    <s v="Google Ads - Competitor"/>
    <x v="5"/>
    <s v="Self Employed"/>
    <n v="65000"/>
    <n v="720"/>
    <n v="150000"/>
    <x v="0"/>
    <x v="0"/>
  </r>
  <r>
    <s v="LD1263"/>
    <s v="2026-05-29"/>
    <s v="Google Ads - Generic"/>
    <x v="6"/>
    <s v="Self Employed"/>
    <n v="40000"/>
    <n v="580"/>
    <n v="75000"/>
    <x v="0"/>
    <x v="0"/>
  </r>
  <r>
    <s v="LD1240"/>
    <s v="2026-06-14"/>
    <s v="Referral"/>
    <x v="1"/>
    <s v="Self Employed"/>
    <n v="40000"/>
    <n v="780"/>
    <n v="75000"/>
    <x v="0"/>
    <x v="0"/>
  </r>
  <r>
    <s v="LD1151"/>
    <s v="2026-06-17"/>
    <s v="Facebook Ads"/>
    <x v="1"/>
    <s v="Salaried"/>
    <n v="28000"/>
    <n v="740"/>
    <n v="100000"/>
    <x v="1"/>
    <x v="0"/>
  </r>
  <r>
    <s v="LD1183"/>
    <s v="2026-06-17"/>
    <s v="Facebook Ads"/>
    <x v="6"/>
    <s v="Salaried"/>
    <n v="22000"/>
    <n v="800"/>
    <n v="50000"/>
    <x v="1"/>
    <x v="0"/>
  </r>
  <r>
    <s v="LD1103"/>
    <s v="2026-05-19"/>
    <s v="Google Ads - Competitor"/>
    <x v="7"/>
    <s v="Salaried"/>
    <n v="28000"/>
    <s v="Not Available"/>
    <n v="200000"/>
    <x v="1"/>
    <x v="0"/>
  </r>
  <r>
    <s v="LD1209"/>
    <s v="2026-06-12"/>
    <s v="Google Ads - Competitor"/>
    <x v="3"/>
    <s v="Salaried"/>
    <n v="32000"/>
    <n v="670"/>
    <n v="250000"/>
    <x v="1"/>
    <x v="0"/>
  </r>
  <r>
    <s v="LD1169"/>
    <s v="2026-05-31"/>
    <s v="Facebook Ads"/>
    <x v="7"/>
    <s v="Self Employed"/>
    <n v="40000"/>
    <n v="800"/>
    <n v="50000"/>
    <x v="1"/>
    <x v="0"/>
  </r>
  <r>
    <s v="LD1208"/>
    <s v="2026-05-10"/>
    <s v="Facebook Ads"/>
    <x v="6"/>
    <s v="Self Employed"/>
    <n v="28000"/>
    <n v="800"/>
    <n v="200000"/>
    <x v="1"/>
    <x v="0"/>
  </r>
  <r>
    <s v="LD1091"/>
    <s v="2026-06-23"/>
    <s v="Google Ads - Brand"/>
    <x v="6"/>
    <s v="Self Employed"/>
    <n v="18000"/>
    <n v="720"/>
    <n v="250000"/>
    <x v="1"/>
    <x v="0"/>
  </r>
  <r>
    <s v="LD1092"/>
    <s v="2026-06-09"/>
    <s v="Organic Search"/>
    <x v="8"/>
    <s v="Self Employed"/>
    <n v="22000"/>
    <n v="760"/>
    <n v="100000"/>
    <x v="1"/>
    <x v="0"/>
  </r>
  <r>
    <s v="LD1218"/>
    <s v="2026-06-19"/>
    <s v="Organic Search"/>
    <x v="9"/>
    <s v="Self Employed"/>
    <n v="65000"/>
    <n v="780"/>
    <n v="150000"/>
    <x v="1"/>
    <x v="0"/>
  </r>
  <r>
    <s v="LD1223"/>
    <s v="2026-05-15"/>
    <s v="Organic Search"/>
    <x v="4"/>
    <s v="Self Employed"/>
    <n v="25000"/>
    <n v="720"/>
    <n v="100000"/>
    <x v="1"/>
    <x v="0"/>
  </r>
  <r>
    <s v="LD1133"/>
    <s v="2026-05-03"/>
    <s v="Referral"/>
    <x v="6"/>
    <s v="Self Employed"/>
    <n v="65000"/>
    <n v="800"/>
    <n v="150000"/>
    <x v="1"/>
    <x v="0"/>
  </r>
  <r>
    <s v="LD1018"/>
    <s v="2026-06-11"/>
    <s v="Facebook Ads"/>
    <x v="7"/>
    <s v="Salaried"/>
    <n v="65000"/>
    <n v="760"/>
    <n v="300000"/>
    <x v="2"/>
    <x v="0"/>
  </r>
  <r>
    <s v="LD1034"/>
    <s v="2026-06-18"/>
    <s v="Facebook Ads"/>
    <x v="3"/>
    <s v="Salaried"/>
    <n v="65000"/>
    <n v="760"/>
    <n v="50000"/>
    <x v="2"/>
    <x v="0"/>
  </r>
  <r>
    <s v="LD1039"/>
    <s v="2026-06-08"/>
    <s v="Facebook Ads"/>
    <x v="8"/>
    <s v="Salaried"/>
    <n v="45000"/>
    <n v="580"/>
    <n v="50000"/>
    <x v="2"/>
    <x v="0"/>
  </r>
  <r>
    <s v="LD1054"/>
    <s v="2026-05-12"/>
    <s v="Facebook Ads"/>
    <x v="8"/>
    <s v="Salaried"/>
    <n v="22000"/>
    <n v="610"/>
    <n v="50000"/>
    <x v="2"/>
    <x v="0"/>
  </r>
  <r>
    <s v="LD1064"/>
    <s v="2026-06-17"/>
    <s v="Facebook Ads"/>
    <x v="8"/>
    <s v="Salaried"/>
    <n v="35000"/>
    <n v="800"/>
    <n v="250000"/>
    <x v="2"/>
    <x v="0"/>
  </r>
  <r>
    <s v="LD1071"/>
    <s v="2026-05-30"/>
    <s v="Facebook Ads"/>
    <x v="2"/>
    <s v="Salaried"/>
    <n v="45000"/>
    <n v="650"/>
    <n v="50000"/>
    <x v="2"/>
    <x v="0"/>
  </r>
  <r>
    <s v="LD1148"/>
    <s v="2026-05-03"/>
    <s v="Facebook Ads"/>
    <x v="1"/>
    <s v="Salaried"/>
    <n v="65000"/>
    <n v="580"/>
    <n v="250000"/>
    <x v="2"/>
    <x v="0"/>
  </r>
  <r>
    <s v="LD1156"/>
    <s v="2026-06-11"/>
    <s v="Facebook Ads"/>
    <x v="9"/>
    <s v="Salaried"/>
    <n v="65000"/>
    <n v="740"/>
    <n v="100000"/>
    <x v="2"/>
    <x v="0"/>
  </r>
  <r>
    <s v="LD1181"/>
    <s v="2026-05-02"/>
    <s v="Facebook Ads"/>
    <x v="5"/>
    <s v="Salaried"/>
    <n v="55000"/>
    <n v="800"/>
    <n v="100000"/>
    <x v="2"/>
    <x v="0"/>
  </r>
  <r>
    <s v="LD1189"/>
    <s v="2026-05-09"/>
    <s v="Facebook Ads"/>
    <x v="7"/>
    <s v="Salaried"/>
    <n v="25000"/>
    <n v="670"/>
    <n v="300000"/>
    <x v="2"/>
    <x v="0"/>
  </r>
  <r>
    <s v="LD1206"/>
    <s v="2026-05-27"/>
    <s v="Facebook Ads"/>
    <x v="5"/>
    <s v="Salaried"/>
    <n v="32000"/>
    <n v="700"/>
    <n v="150000"/>
    <x v="2"/>
    <x v="0"/>
  </r>
  <r>
    <s v="LD1214"/>
    <s v="2026-05-09"/>
    <s v="Facebook Ads"/>
    <x v="4"/>
    <s v="Salaried"/>
    <n v="65000"/>
    <n v="700"/>
    <n v="200000"/>
    <x v="2"/>
    <x v="0"/>
  </r>
  <r>
    <s v="LD1215"/>
    <s v="2026-06-09"/>
    <s v="Facebook Ads"/>
    <x v="6"/>
    <s v="Salaried"/>
    <n v="22000"/>
    <n v="610"/>
    <n v="300000"/>
    <x v="2"/>
    <x v="0"/>
  </r>
  <r>
    <s v="LD1084"/>
    <s v="2026-05-03"/>
    <s v="Google Ads - Brand"/>
    <x v="0"/>
    <s v="Salaried"/>
    <n v="65000"/>
    <n v="580"/>
    <n v="250000"/>
    <x v="2"/>
    <x v="0"/>
  </r>
  <r>
    <s v="LD1224"/>
    <s v="2026-05-03"/>
    <s v="Google Ads - Brand"/>
    <x v="0"/>
    <s v="Salaried"/>
    <n v="65000"/>
    <n v="700"/>
    <n v="75000"/>
    <x v="2"/>
    <x v="0"/>
  </r>
  <r>
    <s v="LD1249"/>
    <s v="2026-05-06"/>
    <s v="Google Ads - Brand"/>
    <x v="8"/>
    <s v="Salaried"/>
    <n v="40000"/>
    <n v="610"/>
    <n v="150000"/>
    <x v="2"/>
    <x v="0"/>
  </r>
  <r>
    <s v="LD1020"/>
    <s v="2026-06-23"/>
    <s v="Google Ads - Competitor"/>
    <x v="4"/>
    <s v="Salaried"/>
    <n v="45000"/>
    <n v="580"/>
    <n v="100000"/>
    <x v="2"/>
    <x v="0"/>
  </r>
  <r>
    <s v="LD1023"/>
    <s v="2026-06-16"/>
    <s v="Google Ads - Competitor"/>
    <x v="9"/>
    <s v="Salaried"/>
    <n v="25000"/>
    <n v="780"/>
    <n v="50000"/>
    <x v="2"/>
    <x v="0"/>
  </r>
  <r>
    <s v="LD1049"/>
    <s v="2026-05-01"/>
    <s v="Google Ads - Competitor"/>
    <x v="7"/>
    <s v="Salaried"/>
    <n v="65000"/>
    <n v="720"/>
    <n v="50000"/>
    <x v="2"/>
    <x v="0"/>
  </r>
  <r>
    <s v="LD1114"/>
    <s v="2026-06-17"/>
    <s v="Google Ads - Competitor"/>
    <x v="8"/>
    <s v="Salaried"/>
    <n v="15000"/>
    <n v="610"/>
    <n v="200000"/>
    <x v="2"/>
    <x v="0"/>
  </r>
  <r>
    <s v="LD1150"/>
    <s v="2026-06-03"/>
    <s v="Google Ads - Competitor"/>
    <x v="6"/>
    <s v="Salaried"/>
    <n v="25000"/>
    <n v="610"/>
    <n v="100000"/>
    <x v="2"/>
    <x v="0"/>
  </r>
  <r>
    <s v="LD1212"/>
    <s v="2026-05-13"/>
    <s v="Google Ads - Competitor"/>
    <x v="1"/>
    <s v="Salaried"/>
    <n v="25000"/>
    <n v="700"/>
    <n v="150000"/>
    <x v="2"/>
    <x v="0"/>
  </r>
  <r>
    <s v="LD1221"/>
    <s v="2026-06-23"/>
    <s v="Google Ads - Competitor"/>
    <x v="3"/>
    <s v="Salaried"/>
    <n v="28000"/>
    <n v="740"/>
    <n v="75000"/>
    <x v="2"/>
    <x v="0"/>
  </r>
  <r>
    <s v="LD1036"/>
    <s v="2026-05-30"/>
    <s v="Google Ads - Generic"/>
    <x v="6"/>
    <s v="Salaried"/>
    <n v="35000"/>
    <n v="670"/>
    <n v="300000"/>
    <x v="2"/>
    <x v="0"/>
  </r>
  <r>
    <s v="LD1048"/>
    <s v="2026-06-01"/>
    <s v="Google Ads - Generic"/>
    <x v="0"/>
    <s v="Salaried"/>
    <n v="65000"/>
    <n v="800"/>
    <n v="200000"/>
    <x v="2"/>
    <x v="0"/>
  </r>
  <r>
    <s v="LD1164"/>
    <s v="2026-06-08"/>
    <s v="Google Ads - Generic"/>
    <x v="5"/>
    <s v="Salaried"/>
    <n v="25000"/>
    <n v="700"/>
    <n v="300000"/>
    <x v="2"/>
    <x v="0"/>
  </r>
  <r>
    <s v="LD1191"/>
    <s v="2026-05-23"/>
    <s v="Google Ads - Generic"/>
    <x v="6"/>
    <s v="Salaried"/>
    <n v="45000"/>
    <n v="760"/>
    <n v="300000"/>
    <x v="2"/>
    <x v="0"/>
  </r>
  <r>
    <s v="LD1213"/>
    <s v="2026-06-02"/>
    <s v="Google Ads - Generic"/>
    <x v="8"/>
    <s v="Salaried"/>
    <n v="18000"/>
    <n v="670"/>
    <n v="50000"/>
    <x v="2"/>
    <x v="0"/>
  </r>
  <r>
    <s v="LD1294"/>
    <s v="2026-05-03"/>
    <s v="Google Ads - Generic"/>
    <x v="4"/>
    <s v="Salaried"/>
    <n v="22000"/>
    <n v="720"/>
    <n v="75000"/>
    <x v="2"/>
    <x v="0"/>
  </r>
  <r>
    <s v="LD1013"/>
    <s v="2026-05-14"/>
    <s v="Organic Search"/>
    <x v="1"/>
    <s v="Salaried"/>
    <n v="25000"/>
    <n v="780"/>
    <n v="100000"/>
    <x v="2"/>
    <x v="0"/>
  </r>
  <r>
    <s v="LD1105"/>
    <s v="2026-05-08"/>
    <s v="Organic Search"/>
    <x v="0"/>
    <s v="Salaried"/>
    <n v="15000"/>
    <n v="670"/>
    <n v="150000"/>
    <x v="2"/>
    <x v="0"/>
  </r>
  <r>
    <s v="LD1109"/>
    <s v="2026-06-10"/>
    <s v="Organic Search"/>
    <x v="1"/>
    <s v="Salaried"/>
    <n v="55000"/>
    <n v="580"/>
    <n v="75000"/>
    <x v="2"/>
    <x v="0"/>
  </r>
  <r>
    <s v="LD1173"/>
    <s v="2026-06-16"/>
    <s v="Organic Search"/>
    <x v="3"/>
    <s v="Salaried"/>
    <n v="65000"/>
    <n v="800"/>
    <n v="200000"/>
    <x v="2"/>
    <x v="0"/>
  </r>
  <r>
    <s v="LD1202"/>
    <s v="2026-06-11"/>
    <s v="Organic Search"/>
    <x v="2"/>
    <s v="Salaried"/>
    <n v="15000"/>
    <n v="700"/>
    <n v="50000"/>
    <x v="2"/>
    <x v="0"/>
  </r>
  <r>
    <s v="LD1222"/>
    <s v="2026-05-04"/>
    <s v="Organic Search"/>
    <x v="3"/>
    <s v="Salaried"/>
    <n v="40000"/>
    <n v="700"/>
    <n v="150000"/>
    <x v="2"/>
    <x v="0"/>
  </r>
  <r>
    <s v="LD1021"/>
    <s v="2026-06-19"/>
    <s v="Referral"/>
    <x v="4"/>
    <s v="Salaried"/>
    <n v="22000"/>
    <n v="700"/>
    <n v="200000"/>
    <x v="2"/>
    <x v="0"/>
  </r>
  <r>
    <s v="LD1086"/>
    <s v="2026-06-08"/>
    <s v="Referral"/>
    <x v="3"/>
    <s v="Salaried"/>
    <n v="40000"/>
    <n v="670"/>
    <n v="75000"/>
    <x v="2"/>
    <x v="0"/>
  </r>
  <r>
    <s v="LD1166"/>
    <s v="2026-06-07"/>
    <s v="Referral"/>
    <x v="7"/>
    <s v="Salaried"/>
    <n v="15000"/>
    <n v="700"/>
    <n v="75000"/>
    <x v="2"/>
    <x v="0"/>
  </r>
  <r>
    <s v="LD1012"/>
    <s v="2026-05-21"/>
    <s v="Facebook Ads"/>
    <x v="9"/>
    <s v="Self Employed"/>
    <n v="15000"/>
    <n v="650"/>
    <n v="300000"/>
    <x v="2"/>
    <x v="0"/>
  </r>
  <r>
    <s v="LD1030"/>
    <s v="2026-05-07"/>
    <s v="Facebook Ads"/>
    <x v="5"/>
    <s v="Self Employed"/>
    <n v="25000"/>
    <n v="740"/>
    <n v="75000"/>
    <x v="2"/>
    <x v="0"/>
  </r>
  <r>
    <s v="LD1062"/>
    <s v="2026-06-09"/>
    <s v="Facebook Ads"/>
    <x v="9"/>
    <s v="Self Employed"/>
    <n v="35000"/>
    <n v="580"/>
    <n v="100000"/>
    <x v="2"/>
    <x v="0"/>
  </r>
  <r>
    <s v="LD1077"/>
    <s v="2026-06-19"/>
    <s v="Facebook Ads"/>
    <x v="2"/>
    <s v="Self Employed"/>
    <n v="15000"/>
    <n v="650"/>
    <n v="150000"/>
    <x v="2"/>
    <x v="0"/>
  </r>
  <r>
    <s v="LD1078"/>
    <s v="2026-06-18"/>
    <s v="Facebook Ads"/>
    <x v="7"/>
    <s v="Self Employed"/>
    <n v="40000"/>
    <s v="Not Available"/>
    <n v="100000"/>
    <x v="2"/>
    <x v="0"/>
  </r>
  <r>
    <s v="LD1137"/>
    <s v="2026-06-09"/>
    <s v="Facebook Ads"/>
    <x v="6"/>
    <s v="Self Employed"/>
    <n v="65000"/>
    <n v="740"/>
    <n v="50000"/>
    <x v="2"/>
    <x v="0"/>
  </r>
  <r>
    <s v="LD1197"/>
    <s v="2026-05-07"/>
    <s v="Facebook Ads"/>
    <x v="9"/>
    <s v="Self Employed"/>
    <n v="32000"/>
    <n v="800"/>
    <n v="75000"/>
    <x v="2"/>
    <x v="0"/>
  </r>
  <r>
    <s v="LD1270"/>
    <s v="2026-05-09"/>
    <s v="Facebook Ads"/>
    <x v="2"/>
    <s v="Self Employed"/>
    <n v="45000"/>
    <s v="Not Available"/>
    <n v="150000"/>
    <x v="2"/>
    <x v="0"/>
  </r>
  <r>
    <s v="LD1006"/>
    <s v="2026-05-17"/>
    <s v="Google Ads - Brand"/>
    <x v="3"/>
    <s v="Self Employed"/>
    <n v="18000"/>
    <n v="700"/>
    <n v="200000"/>
    <x v="2"/>
    <x v="0"/>
  </r>
  <r>
    <s v="LD1199"/>
    <s v="2026-06-13"/>
    <s v="Google Ads - Brand"/>
    <x v="8"/>
    <s v="Self Employed"/>
    <n v="40000"/>
    <n v="780"/>
    <n v="150000"/>
    <x v="2"/>
    <x v="0"/>
  </r>
  <r>
    <s v="LD1261"/>
    <s v="2026-06-09"/>
    <s v="Google Ads - Brand"/>
    <x v="5"/>
    <s v="Self Employed"/>
    <n v="65000"/>
    <n v="650"/>
    <n v="150000"/>
    <x v="2"/>
    <x v="0"/>
  </r>
  <r>
    <s v="LD1025"/>
    <s v="2026-05-13"/>
    <s v="Google Ads - Competitor"/>
    <x v="4"/>
    <s v="Self Employed"/>
    <n v="25000"/>
    <n v="760"/>
    <n v="250000"/>
    <x v="2"/>
    <x v="0"/>
  </r>
  <r>
    <s v="LD1075"/>
    <s v="2026-05-09"/>
    <s v="Google Ads - Competitor"/>
    <x v="9"/>
    <s v="Self Employed"/>
    <n v="32000"/>
    <n v="700"/>
    <n v="50000"/>
    <x v="2"/>
    <x v="0"/>
  </r>
  <r>
    <s v="LD1095"/>
    <s v="2026-05-18"/>
    <s v="Google Ads - Competitor"/>
    <x v="8"/>
    <s v="Self Employed"/>
    <n v="25000"/>
    <n v="700"/>
    <n v="100000"/>
    <x v="2"/>
    <x v="0"/>
  </r>
  <r>
    <s v="LD1121"/>
    <s v="2026-06-18"/>
    <s v="Google Ads - Competitor"/>
    <x v="6"/>
    <s v="Self Employed"/>
    <n v="28000"/>
    <n v="800"/>
    <n v="300000"/>
    <x v="2"/>
    <x v="0"/>
  </r>
  <r>
    <s v="LD1124"/>
    <s v="2026-05-18"/>
    <s v="Google Ads - Competitor"/>
    <x v="5"/>
    <s v="Self Employed"/>
    <n v="65000"/>
    <n v="740"/>
    <n v="75000"/>
    <x v="2"/>
    <x v="0"/>
  </r>
  <r>
    <s v="LD1136"/>
    <s v="2026-06-13"/>
    <s v="Google Ads - Competitor"/>
    <x v="5"/>
    <s v="Self Employed"/>
    <n v="65000"/>
    <n v="580"/>
    <n v="300000"/>
    <x v="2"/>
    <x v="0"/>
  </r>
  <r>
    <s v="LD1152"/>
    <s v="2026-06-13"/>
    <s v="Google Ads - Competitor"/>
    <x v="3"/>
    <s v="Self Employed"/>
    <n v="18000"/>
    <n v="610"/>
    <n v="75000"/>
    <x v="2"/>
    <x v="0"/>
  </r>
  <r>
    <s v="LD1219"/>
    <s v="2026-05-17"/>
    <s v="Google Ads - Competitor"/>
    <x v="6"/>
    <s v="Self Employed"/>
    <n v="22000"/>
    <n v="650"/>
    <n v="75000"/>
    <x v="2"/>
    <x v="0"/>
  </r>
  <r>
    <s v="LD1267"/>
    <s v="2026-06-16"/>
    <s v="Google Ads - Competitor"/>
    <x v="6"/>
    <s v="Self Employed"/>
    <n v="25000"/>
    <n v="610"/>
    <n v="200000"/>
    <x v="2"/>
    <x v="0"/>
  </r>
  <r>
    <s v="LD1016"/>
    <s v="2026-06-10"/>
    <s v="Google Ads - Generic"/>
    <x v="8"/>
    <s v="Self Employed"/>
    <n v="18000"/>
    <s v="Not Available"/>
    <n v="75000"/>
    <x v="2"/>
    <x v="0"/>
  </r>
  <r>
    <s v="LD1045"/>
    <s v="2026-05-20"/>
    <s v="Google Ads - Generic"/>
    <x v="0"/>
    <s v="Self Employed"/>
    <n v="22000"/>
    <n v="740"/>
    <n v="250000"/>
    <x v="2"/>
    <x v="0"/>
  </r>
  <r>
    <s v="LD1065"/>
    <s v="2026-05-19"/>
    <s v="Google Ads - Generic"/>
    <x v="5"/>
    <s v="Self Employed"/>
    <n v="35000"/>
    <n v="760"/>
    <n v="100000"/>
    <x v="2"/>
    <x v="0"/>
  </r>
  <r>
    <s v="LD1072"/>
    <s v="2026-05-28"/>
    <s v="Google Ads - Generic"/>
    <x v="2"/>
    <s v="Self Employed"/>
    <n v="40000"/>
    <n v="780"/>
    <n v="200000"/>
    <x v="2"/>
    <x v="0"/>
  </r>
  <r>
    <s v="LD1089"/>
    <s v="2026-06-06"/>
    <s v="Google Ads - Generic"/>
    <x v="3"/>
    <s v="Self Employed"/>
    <n v="65000"/>
    <n v="780"/>
    <n v="300000"/>
    <x v="2"/>
    <x v="0"/>
  </r>
  <r>
    <s v="LD1227"/>
    <s v="2026-06-08"/>
    <s v="Google Ads - Generic"/>
    <x v="6"/>
    <s v="Self Employed"/>
    <n v="18000"/>
    <n v="580"/>
    <n v="150000"/>
    <x v="2"/>
    <x v="0"/>
  </r>
  <r>
    <s v="LD1260"/>
    <s v="2026-05-06"/>
    <s v="Google Ads - Generic"/>
    <x v="5"/>
    <s v="Self Employed"/>
    <n v="55000"/>
    <s v="Not Available"/>
    <n v="50000"/>
    <x v="2"/>
    <x v="0"/>
  </r>
  <r>
    <s v="LD1004"/>
    <s v="2026-06-18"/>
    <s v="Organic Search"/>
    <x v="9"/>
    <s v="Self Employed"/>
    <n v="55000"/>
    <n v="670"/>
    <n v="50000"/>
    <x v="2"/>
    <x v="0"/>
  </r>
  <r>
    <s v="LD1033"/>
    <s v="2026-05-29"/>
    <s v="Organic Search"/>
    <x v="8"/>
    <s v="Self Employed"/>
    <n v="40000"/>
    <n v="650"/>
    <n v="50000"/>
    <x v="2"/>
    <x v="0"/>
  </r>
  <r>
    <s v="LD1080"/>
    <s v="2026-06-04"/>
    <s v="Organic Search"/>
    <x v="0"/>
    <s v="Self Employed"/>
    <n v="22000"/>
    <n v="740"/>
    <n v="200000"/>
    <x v="2"/>
    <x v="0"/>
  </r>
  <r>
    <s v="LD1154"/>
    <s v="2026-05-07"/>
    <s v="Organic Search"/>
    <x v="0"/>
    <s v="Self Employed"/>
    <n v="55000"/>
    <n v="720"/>
    <n v="100000"/>
    <x v="2"/>
    <x v="0"/>
  </r>
  <r>
    <s v="LD1286"/>
    <s v="2026-06-16"/>
    <s v="Organic Search"/>
    <x v="0"/>
    <s v="Self Employed"/>
    <n v="32000"/>
    <n v="760"/>
    <n v="300000"/>
    <x v="2"/>
    <x v="0"/>
  </r>
  <r>
    <s v="LD1015"/>
    <s v="2026-05-24"/>
    <s v="Referral"/>
    <x v="4"/>
    <s v="Self Employed"/>
    <n v="55000"/>
    <n v="720"/>
    <n v="150000"/>
    <x v="2"/>
    <x v="0"/>
  </r>
  <r>
    <s v="LD1139"/>
    <s v="2026-05-21"/>
    <s v="Referral"/>
    <x v="3"/>
    <s v="Self Employed"/>
    <n v="22000"/>
    <n v="670"/>
    <n v="50000"/>
    <x v="2"/>
    <x v="0"/>
  </r>
  <r>
    <s v="LD1155"/>
    <s v="2026-05-21"/>
    <s v="Referral"/>
    <x v="9"/>
    <s v="Self Employed"/>
    <n v="15000"/>
    <n v="780"/>
    <n v="200000"/>
    <x v="2"/>
    <x v="0"/>
  </r>
  <r>
    <s v="LD1238"/>
    <s v="2026-05-28"/>
    <s v="Referral"/>
    <x v="2"/>
    <s v="Self Employed"/>
    <n v="45000"/>
    <n v="670"/>
    <n v="250000"/>
    <x v="2"/>
    <x v="0"/>
  </r>
  <r>
    <s v="LD1247"/>
    <s v="2026-05-17"/>
    <s v="Referral"/>
    <x v="8"/>
    <s v="Self Employed"/>
    <n v="45000"/>
    <n v="720"/>
    <n v="50000"/>
    <x v="2"/>
    <x v="0"/>
  </r>
  <r>
    <s v="LD1027"/>
    <s v="2026-05-15"/>
    <s v="Google Ads - Brand"/>
    <x v="9"/>
    <s v="Salaried"/>
    <n v="18000"/>
    <n v="700"/>
    <n v="200000"/>
    <x v="3"/>
    <x v="0"/>
  </r>
  <r>
    <s v="LD1051"/>
    <s v="2026-06-07"/>
    <s v="Google Ads - Brand"/>
    <x v="3"/>
    <s v="Salaried"/>
    <n v="22000"/>
    <n v="760"/>
    <n v="100000"/>
    <x v="3"/>
    <x v="0"/>
  </r>
  <r>
    <s v="LD1230"/>
    <s v="2026-05-24"/>
    <s v="Google Ads - Brand"/>
    <x v="4"/>
    <s v="Salaried"/>
    <n v="35000"/>
    <n v="740"/>
    <n v="150000"/>
    <x v="3"/>
    <x v="0"/>
  </r>
  <r>
    <s v="LD1068"/>
    <s v="2026-05-31"/>
    <s v="Google Ads - Generic"/>
    <x v="1"/>
    <s v="Salaried"/>
    <n v="25000"/>
    <n v="610"/>
    <n v="75000"/>
    <x v="3"/>
    <x v="0"/>
  </r>
  <r>
    <s v="LD1295"/>
    <s v="2026-06-08"/>
    <s v="Organic Search"/>
    <x v="2"/>
    <s v="Salaried"/>
    <n v="28000"/>
    <s v="Not Available"/>
    <n v="200000"/>
    <x v="3"/>
    <x v="0"/>
  </r>
  <r>
    <s v="LD1002"/>
    <s v="2026-05-14"/>
    <s v="Referral"/>
    <x v="4"/>
    <s v="Salaried"/>
    <n v="55000"/>
    <n v="720"/>
    <n v="50000"/>
    <x v="3"/>
    <x v="0"/>
  </r>
  <r>
    <s v="LD1234"/>
    <s v="2026-05-03"/>
    <s v="Referral"/>
    <x v="2"/>
    <s v="Salaried"/>
    <n v="28000"/>
    <n v="650"/>
    <n v="75000"/>
    <x v="3"/>
    <x v="0"/>
  </r>
  <r>
    <s v="LD1182"/>
    <s v="2026-05-10"/>
    <s v="Google Ads - Generic"/>
    <x v="1"/>
    <s v="Self Employed"/>
    <n v="32000"/>
    <n v="700"/>
    <n v="300000"/>
    <x v="3"/>
    <x v="0"/>
  </r>
  <r>
    <s v="LD1300"/>
    <s v="2026-05-16"/>
    <s v="Google Ads - Generic"/>
    <x v="8"/>
    <s v="Self Employed"/>
    <n v="32000"/>
    <n v="650"/>
    <n v="150000"/>
    <x v="3"/>
    <x v="0"/>
  </r>
  <r>
    <s v="LD1132"/>
    <s v="2026-05-31"/>
    <s v="Referral"/>
    <x v="9"/>
    <s v="Self Employed"/>
    <n v="25000"/>
    <n v="720"/>
    <n v="250000"/>
    <x v="3"/>
    <x v="0"/>
  </r>
  <r>
    <s v="LD1153"/>
    <s v="2026-05-08"/>
    <s v="Referral"/>
    <x v="6"/>
    <s v="Self Employed"/>
    <n v="18000"/>
    <n v="720"/>
    <n v="200000"/>
    <x v="3"/>
    <x v="0"/>
  </r>
  <r>
    <s v="LD1011"/>
    <s v="2026-06-14"/>
    <s v="Facebook Ads"/>
    <x v="9"/>
    <s v="Salaried"/>
    <n v="40000"/>
    <n v="720"/>
    <n v="250000"/>
    <x v="4"/>
    <x v="0"/>
  </r>
  <r>
    <s v="LD1046"/>
    <s v="2026-05-07"/>
    <s v="Facebook Ads"/>
    <x v="4"/>
    <s v="Salaried"/>
    <n v="65000"/>
    <n v="760"/>
    <n v="250000"/>
    <x v="4"/>
    <x v="0"/>
  </r>
  <r>
    <s v="LD1073"/>
    <s v="2026-06-23"/>
    <s v="Facebook Ads"/>
    <x v="2"/>
    <s v="Salaried"/>
    <n v="40000"/>
    <n v="740"/>
    <n v="75000"/>
    <x v="4"/>
    <x v="0"/>
  </r>
  <r>
    <s v="LD1129"/>
    <s v="2026-06-02"/>
    <s v="Facebook Ads"/>
    <x v="8"/>
    <s v="Salaried"/>
    <n v="28000"/>
    <n v="720"/>
    <n v="300000"/>
    <x v="4"/>
    <x v="0"/>
  </r>
  <r>
    <s v="LD1165"/>
    <s v="2026-05-08"/>
    <s v="Google Ads - Brand"/>
    <x v="1"/>
    <s v="Salaried"/>
    <n v="22000"/>
    <n v="760"/>
    <n v="75000"/>
    <x v="4"/>
    <x v="0"/>
  </r>
  <r>
    <s v="LD1239"/>
    <s v="2026-05-21"/>
    <s v="Google Ads - Brand"/>
    <x v="6"/>
    <s v="Salaried"/>
    <n v="45000"/>
    <n v="670"/>
    <n v="50000"/>
    <x v="4"/>
    <x v="0"/>
  </r>
  <r>
    <s v="LD1146"/>
    <s v="2026-06-13"/>
    <s v="Google Ads - Competitor"/>
    <x v="1"/>
    <s v="Salaried"/>
    <n v="65000"/>
    <n v="720"/>
    <n v="200000"/>
    <x v="4"/>
    <x v="0"/>
  </r>
  <r>
    <s v="LD1207"/>
    <s v="2026-05-07"/>
    <s v="Google Ads - Competitor"/>
    <x v="5"/>
    <s v="Salaried"/>
    <n v="65000"/>
    <n v="800"/>
    <n v="100000"/>
    <x v="4"/>
    <x v="0"/>
  </r>
  <r>
    <s v="LD1217"/>
    <s v="2026-06-20"/>
    <s v="Google Ads - Competitor"/>
    <x v="2"/>
    <s v="Salaried"/>
    <n v="45000"/>
    <n v="650"/>
    <n v="300000"/>
    <x v="4"/>
    <x v="0"/>
  </r>
  <r>
    <s v="LD1289"/>
    <s v="2026-06-14"/>
    <s v="Google Ads - Competitor"/>
    <x v="2"/>
    <s v="Salaried"/>
    <n v="25000"/>
    <n v="760"/>
    <n v="200000"/>
    <x v="4"/>
    <x v="0"/>
  </r>
  <r>
    <s v="LD1290"/>
    <s v="2026-06-12"/>
    <s v="Google Ads - Competitor"/>
    <x v="8"/>
    <s v="Salaried"/>
    <n v="55000"/>
    <n v="780"/>
    <n v="50000"/>
    <x v="4"/>
    <x v="0"/>
  </r>
  <r>
    <s v="LD1266"/>
    <s v="2026-05-04"/>
    <s v="Google Ads - Generic"/>
    <x v="2"/>
    <s v="Salaried"/>
    <n v="28000"/>
    <n v="740"/>
    <n v="50000"/>
    <x v="4"/>
    <x v="0"/>
  </r>
  <r>
    <s v="LD1288"/>
    <s v="2026-06-11"/>
    <s v="Google Ads - Generic"/>
    <x v="1"/>
    <s v="Salaried"/>
    <n v="28000"/>
    <n v="580"/>
    <n v="150000"/>
    <x v="4"/>
    <x v="0"/>
  </r>
  <r>
    <s v="LD1079"/>
    <s v="2026-05-02"/>
    <s v="Organic Search"/>
    <x v="6"/>
    <s v="Salaried"/>
    <n v="40000"/>
    <n v="650"/>
    <n v="150000"/>
    <x v="4"/>
    <x v="0"/>
  </r>
  <r>
    <s v="LD1157"/>
    <s v="2026-05-08"/>
    <s v="Organic Search"/>
    <x v="3"/>
    <s v="Salaried"/>
    <n v="15000"/>
    <s v="Not Available"/>
    <n v="150000"/>
    <x v="4"/>
    <x v="0"/>
  </r>
  <r>
    <s v="LD1187"/>
    <s v="2026-05-19"/>
    <s v="Organic Search"/>
    <x v="1"/>
    <s v="Salaried"/>
    <n v="45000"/>
    <n v="580"/>
    <n v="50000"/>
    <x v="4"/>
    <x v="0"/>
  </r>
  <r>
    <s v="LD1178"/>
    <s v="2026-06-06"/>
    <s v="Referral"/>
    <x v="6"/>
    <s v="Salaried"/>
    <n v="28000"/>
    <n v="780"/>
    <n v="50000"/>
    <x v="4"/>
    <x v="0"/>
  </r>
  <r>
    <s v="LD1052"/>
    <s v="2026-05-03"/>
    <s v="Facebook Ads"/>
    <x v="8"/>
    <s v="Self Employed"/>
    <n v="22000"/>
    <s v="Not Available"/>
    <n v="300000"/>
    <x v="4"/>
    <x v="0"/>
  </r>
  <r>
    <s v="LD1093"/>
    <s v="2026-05-16"/>
    <s v="Facebook Ads"/>
    <x v="2"/>
    <s v="Self Employed"/>
    <n v="35000"/>
    <n v="780"/>
    <n v="300000"/>
    <x v="4"/>
    <x v="0"/>
  </r>
  <r>
    <s v="LD1099"/>
    <s v="2026-06-05"/>
    <s v="Facebook Ads"/>
    <x v="0"/>
    <s v="Self Employed"/>
    <n v="45000"/>
    <n v="760"/>
    <n v="250000"/>
    <x v="4"/>
    <x v="0"/>
  </r>
  <r>
    <s v="LD1122"/>
    <s v="2026-06-19"/>
    <s v="Facebook Ads"/>
    <x v="7"/>
    <s v="Self Employed"/>
    <n v="18000"/>
    <n v="700"/>
    <n v="50000"/>
    <x v="4"/>
    <x v="0"/>
  </r>
  <r>
    <s v="LD1184"/>
    <s v="2026-05-20"/>
    <s v="Facebook Ads"/>
    <x v="9"/>
    <s v="Self Employed"/>
    <n v="35000"/>
    <n v="740"/>
    <n v="100000"/>
    <x v="4"/>
    <x v="0"/>
  </r>
  <r>
    <s v="LD1193"/>
    <s v="2026-05-02"/>
    <s v="Facebook Ads"/>
    <x v="6"/>
    <s v="Self Employed"/>
    <n v="65000"/>
    <n v="720"/>
    <n v="150000"/>
    <x v="4"/>
    <x v="0"/>
  </r>
  <r>
    <s v="LD1040"/>
    <s v="2026-05-03"/>
    <s v="Google Ads - Brand"/>
    <x v="9"/>
    <s v="Self Employed"/>
    <n v="18000"/>
    <n v="780"/>
    <n v="200000"/>
    <x v="4"/>
    <x v="0"/>
  </r>
  <r>
    <s v="LD1111"/>
    <s v="2026-05-19"/>
    <s v="Google Ads - Brand"/>
    <x v="6"/>
    <s v="Self Employed"/>
    <n v="55000"/>
    <n v="740"/>
    <n v="75000"/>
    <x v="4"/>
    <x v="0"/>
  </r>
  <r>
    <s v="LD1120"/>
    <s v="2026-05-11"/>
    <s v="Google Ads - Brand"/>
    <x v="2"/>
    <s v="Self Employed"/>
    <n v="35000"/>
    <n v="700"/>
    <n v="50000"/>
    <x v="4"/>
    <x v="0"/>
  </r>
  <r>
    <s v="LD1161"/>
    <s v="2026-06-22"/>
    <s v="Google Ads - Brand"/>
    <x v="0"/>
    <s v="Self Employed"/>
    <n v="15000"/>
    <n v="720"/>
    <n v="50000"/>
    <x v="4"/>
    <x v="0"/>
  </r>
  <r>
    <s v="LD1255"/>
    <s v="2026-06-19"/>
    <s v="Google Ads - Brand"/>
    <x v="2"/>
    <s v="Self Employed"/>
    <n v="65000"/>
    <n v="760"/>
    <n v="300000"/>
    <x v="4"/>
    <x v="0"/>
  </r>
  <r>
    <s v="LD1037"/>
    <s v="2026-06-07"/>
    <s v="Google Ads - Competitor"/>
    <x v="6"/>
    <s v="Self Employed"/>
    <n v="22000"/>
    <n v="650"/>
    <n v="50000"/>
    <x v="4"/>
    <x v="0"/>
  </r>
  <r>
    <s v="LD1100"/>
    <s v="2026-06-16"/>
    <s v="Google Ads - Competitor"/>
    <x v="0"/>
    <s v="Self Employed"/>
    <n v="28000"/>
    <n v="670"/>
    <n v="50000"/>
    <x v="4"/>
    <x v="0"/>
  </r>
  <r>
    <s v="LD1102"/>
    <s v="2026-05-12"/>
    <s v="Google Ads - Competitor"/>
    <x v="5"/>
    <s v="Self Employed"/>
    <n v="18000"/>
    <n v="650"/>
    <n v="100000"/>
    <x v="4"/>
    <x v="0"/>
  </r>
  <r>
    <s v="LD1231"/>
    <s v="2026-06-10"/>
    <s v="Google Ads - Competitor"/>
    <x v="7"/>
    <s v="Self Employed"/>
    <n v="18000"/>
    <n v="700"/>
    <n v="250000"/>
    <x v="4"/>
    <x v="0"/>
  </r>
  <r>
    <s v="LD1235"/>
    <s v="2026-06-11"/>
    <s v="Google Ads - Competitor"/>
    <x v="1"/>
    <s v="Self Employed"/>
    <n v="45000"/>
    <n v="740"/>
    <n v="300000"/>
    <x v="4"/>
    <x v="0"/>
  </r>
  <r>
    <s v="LD1237"/>
    <s v="2026-06-01"/>
    <s v="Google Ads - Competitor"/>
    <x v="6"/>
    <s v="Self Employed"/>
    <n v="40000"/>
    <n v="720"/>
    <n v="75000"/>
    <x v="4"/>
    <x v="0"/>
  </r>
  <r>
    <s v="LD1174"/>
    <s v="2026-05-26"/>
    <s v="Google Ads - Generic"/>
    <x v="6"/>
    <s v="Self Employed"/>
    <n v="25000"/>
    <n v="720"/>
    <n v="150000"/>
    <x v="4"/>
    <x v="0"/>
  </r>
  <r>
    <s v="LD1226"/>
    <s v="2026-05-04"/>
    <s v="Google Ads - Generic"/>
    <x v="8"/>
    <s v="Self Employed"/>
    <n v="18000"/>
    <n v="670"/>
    <n v="50000"/>
    <x v="4"/>
    <x v="0"/>
  </r>
  <r>
    <s v="LD1236"/>
    <s v="2026-06-21"/>
    <s v="Google Ads - Generic"/>
    <x v="1"/>
    <s v="Self Employed"/>
    <n v="15000"/>
    <n v="800"/>
    <n v="50000"/>
    <x v="4"/>
    <x v="0"/>
  </r>
  <r>
    <s v="LD1055"/>
    <s v="2026-06-14"/>
    <s v="Referral"/>
    <x v="0"/>
    <s v="Self Employed"/>
    <n v="65000"/>
    <n v="650"/>
    <n v="300000"/>
    <x v="4"/>
    <x v="0"/>
  </r>
  <r>
    <s v="LD1074"/>
    <s v="2026-06-15"/>
    <s v="Referral"/>
    <x v="1"/>
    <s v="Self Employed"/>
    <n v="65000"/>
    <n v="650"/>
    <n v="50000"/>
    <x v="4"/>
    <x v="0"/>
  </r>
  <r>
    <s v="LD1112"/>
    <s v="2026-06-20"/>
    <s v="Referral"/>
    <x v="1"/>
    <s v="Self Employed"/>
    <n v="18000"/>
    <n v="800"/>
    <n v="100000"/>
    <x v="4"/>
    <x v="0"/>
  </r>
  <r>
    <s v="LD1142"/>
    <s v="2026-05-17"/>
    <s v="Referral"/>
    <x v="9"/>
    <s v="Self Employed"/>
    <n v="55000"/>
    <n v="610"/>
    <n v="250000"/>
    <x v="4"/>
    <x v="0"/>
  </r>
  <r>
    <s v="LD1172"/>
    <s v="2026-06-08"/>
    <s v="Referral"/>
    <x v="0"/>
    <s v="Self Employed"/>
    <n v="55000"/>
    <n v="760"/>
    <n v="200000"/>
    <x v="4"/>
    <x v="0"/>
  </r>
  <r>
    <s v="LD1188"/>
    <s v="2026-05-26"/>
    <s v="Referral"/>
    <x v="5"/>
    <s v="Self Employed"/>
    <n v="45000"/>
    <n v="800"/>
    <n v="75000"/>
    <x v="4"/>
    <x v="0"/>
  </r>
  <r>
    <s v="LD1262"/>
    <s v="2026-05-31"/>
    <s v="Referral"/>
    <x v="7"/>
    <s v="Self Employed"/>
    <n v="65000"/>
    <n v="760"/>
    <n v="100000"/>
    <x v="4"/>
    <x v="0"/>
  </r>
  <r>
    <s v="LD1280"/>
    <s v="2026-06-14"/>
    <s v="Referral"/>
    <x v="5"/>
    <s v="Self Employed"/>
    <n v="22000"/>
    <n v="800"/>
    <n v="200000"/>
    <x v="4"/>
    <x v="0"/>
  </r>
  <r>
    <s v="LD1028"/>
    <s v="2026-05-03"/>
    <s v="Facebook Ads"/>
    <x v="9"/>
    <s v="Salaried"/>
    <n v="18000"/>
    <n v="800"/>
    <n v="50000"/>
    <x v="5"/>
    <x v="0"/>
  </r>
  <r>
    <s v="LD1096"/>
    <s v="2026-05-27"/>
    <s v="Facebook Ads"/>
    <x v="1"/>
    <s v="Salaried"/>
    <n v="45000"/>
    <n v="650"/>
    <n v="250000"/>
    <x v="5"/>
    <x v="0"/>
  </r>
  <r>
    <s v="LD1159"/>
    <s v="2026-06-09"/>
    <s v="Facebook Ads"/>
    <x v="6"/>
    <s v="Salaried"/>
    <n v="35000"/>
    <n v="800"/>
    <n v="150000"/>
    <x v="5"/>
    <x v="0"/>
  </r>
  <r>
    <s v="LD1179"/>
    <s v="2026-05-23"/>
    <s v="Facebook Ads"/>
    <x v="9"/>
    <s v="Salaried"/>
    <n v="65000"/>
    <n v="740"/>
    <n v="50000"/>
    <x v="5"/>
    <x v="0"/>
  </r>
  <r>
    <s v="LD1180"/>
    <s v="2026-06-05"/>
    <s v="Facebook Ads"/>
    <x v="0"/>
    <s v="Salaried"/>
    <n v="28000"/>
    <n v="780"/>
    <n v="150000"/>
    <x v="5"/>
    <x v="0"/>
  </r>
  <r>
    <s v="LD1044"/>
    <s v="2026-05-05"/>
    <s v="Google Ads - Brand"/>
    <x v="4"/>
    <s v="Salaried"/>
    <n v="45000"/>
    <n v="670"/>
    <n v="100000"/>
    <x v="5"/>
    <x v="0"/>
  </r>
  <r>
    <s v="LD1056"/>
    <s v="2026-05-23"/>
    <s v="Google Ads - Brand"/>
    <x v="6"/>
    <s v="Salaried"/>
    <n v="40000"/>
    <n v="650"/>
    <n v="150000"/>
    <x v="5"/>
    <x v="0"/>
  </r>
  <r>
    <s v="LD1085"/>
    <s v="2026-05-31"/>
    <s v="Google Ads - Brand"/>
    <x v="9"/>
    <s v="Salaried"/>
    <n v="15000"/>
    <n v="780"/>
    <n v="75000"/>
    <x v="5"/>
    <x v="0"/>
  </r>
  <r>
    <s v="LD1257"/>
    <s v="2026-05-15"/>
    <s v="Google Ads - Brand"/>
    <x v="4"/>
    <s v="Salaried"/>
    <n v="28000"/>
    <n v="610"/>
    <n v="250000"/>
    <x v="5"/>
    <x v="0"/>
  </r>
  <r>
    <s v="LD1057"/>
    <s v="2026-05-18"/>
    <s v="Google Ads - Competitor"/>
    <x v="9"/>
    <s v="Salaried"/>
    <n v="15000"/>
    <n v="800"/>
    <n v="100000"/>
    <x v="5"/>
    <x v="0"/>
  </r>
  <r>
    <s v="LD1163"/>
    <s v="2026-06-05"/>
    <s v="Google Ads - Competitor"/>
    <x v="9"/>
    <s v="Salaried"/>
    <n v="55000"/>
    <n v="650"/>
    <n v="300000"/>
    <x v="5"/>
    <x v="0"/>
  </r>
  <r>
    <s v="LD1167"/>
    <s v="2026-06-03"/>
    <s v="Google Ads - Competitor"/>
    <x v="7"/>
    <s v="Salaried"/>
    <n v="28000"/>
    <s v="Not Available"/>
    <n v="150000"/>
    <x v="5"/>
    <x v="0"/>
  </r>
  <r>
    <s v="LD1047"/>
    <s v="2026-06-08"/>
    <s v="Google Ads - Generic"/>
    <x v="1"/>
    <s v="Salaried"/>
    <n v="18000"/>
    <n v="760"/>
    <n v="100000"/>
    <x v="5"/>
    <x v="0"/>
  </r>
  <r>
    <s v="LD1070"/>
    <s v="2026-06-14"/>
    <s v="Google Ads - Generic"/>
    <x v="8"/>
    <s v="Salaried"/>
    <n v="18000"/>
    <n v="720"/>
    <n v="300000"/>
    <x v="5"/>
    <x v="0"/>
  </r>
  <r>
    <s v="LD1101"/>
    <s v="2026-05-31"/>
    <s v="Google Ads - Generic"/>
    <x v="0"/>
    <s v="Salaried"/>
    <n v="45000"/>
    <n v="610"/>
    <n v="250000"/>
    <x v="5"/>
    <x v="0"/>
  </r>
  <r>
    <s v="LD1110"/>
    <s v="2026-05-11"/>
    <s v="Google Ads - Generic"/>
    <x v="1"/>
    <s v="Salaried"/>
    <n v="22000"/>
    <n v="650"/>
    <n v="50000"/>
    <x v="5"/>
    <x v="0"/>
  </r>
  <r>
    <s v="LD1198"/>
    <s v="2026-06-11"/>
    <s v="Google Ads - Generic"/>
    <x v="1"/>
    <s v="Salaried"/>
    <n v="22000"/>
    <n v="780"/>
    <n v="300000"/>
    <x v="5"/>
    <x v="0"/>
  </r>
  <r>
    <s v="LD1259"/>
    <s v="2026-05-10"/>
    <s v="Google Ads - Generic"/>
    <x v="1"/>
    <s v="Salaried"/>
    <n v="45000"/>
    <n v="800"/>
    <n v="200000"/>
    <x v="5"/>
    <x v="0"/>
  </r>
  <r>
    <s v="LD1128"/>
    <s v="2026-06-08"/>
    <s v="Organic Search"/>
    <x v="2"/>
    <s v="Salaried"/>
    <n v="40000"/>
    <n v="760"/>
    <n v="75000"/>
    <x v="5"/>
    <x v="0"/>
  </r>
  <r>
    <s v="LD1170"/>
    <s v="2026-05-21"/>
    <s v="Organic Search"/>
    <x v="6"/>
    <s v="Salaried"/>
    <n v="40000"/>
    <n v="740"/>
    <n v="50000"/>
    <x v="5"/>
    <x v="0"/>
  </r>
  <r>
    <s v="LD1297"/>
    <s v="2026-06-11"/>
    <s v="Organic Search"/>
    <x v="1"/>
    <s v="Salaried"/>
    <n v="18000"/>
    <n v="700"/>
    <n v="150000"/>
    <x v="5"/>
    <x v="0"/>
  </r>
  <r>
    <s v="LD1001"/>
    <s v="2026-05-07"/>
    <s v="Referral"/>
    <x v="3"/>
    <s v="Salaried"/>
    <n v="28000"/>
    <n v="650"/>
    <n v="250000"/>
    <x v="5"/>
    <x v="0"/>
  </r>
  <r>
    <s v="LD1032"/>
    <s v="2026-05-09"/>
    <s v="Referral"/>
    <x v="0"/>
    <s v="Salaried"/>
    <n v="25000"/>
    <n v="650"/>
    <n v="150000"/>
    <x v="5"/>
    <x v="0"/>
  </r>
  <r>
    <s v="LD1038"/>
    <s v="2026-06-02"/>
    <s v="Referral"/>
    <x v="4"/>
    <s v="Salaried"/>
    <n v="32000"/>
    <s v="Not Available"/>
    <n v="150000"/>
    <x v="5"/>
    <x v="0"/>
  </r>
  <r>
    <s v="LD1042"/>
    <s v="2026-05-20"/>
    <s v="Referral"/>
    <x v="0"/>
    <s v="Salaried"/>
    <n v="28000"/>
    <n v="720"/>
    <n v="250000"/>
    <x v="5"/>
    <x v="0"/>
  </r>
  <r>
    <s v="LD1185"/>
    <s v="2026-05-04"/>
    <s v="Referral"/>
    <x v="0"/>
    <s v="Salaried"/>
    <n v="15000"/>
    <n v="610"/>
    <n v="200000"/>
    <x v="5"/>
    <x v="0"/>
  </r>
  <r>
    <s v="LD1022"/>
    <s v="2026-06-23"/>
    <s v="Facebook Ads"/>
    <x v="7"/>
    <s v="Self Employed"/>
    <n v="40000"/>
    <s v="Not Available"/>
    <n v="100000"/>
    <x v="5"/>
    <x v="0"/>
  </r>
  <r>
    <s v="LD1125"/>
    <s v="2026-06-08"/>
    <s v="Facebook Ads"/>
    <x v="8"/>
    <s v="Self Employed"/>
    <n v="40000"/>
    <n v="740"/>
    <n v="250000"/>
    <x v="5"/>
    <x v="0"/>
  </r>
  <r>
    <s v="LD1200"/>
    <s v="2026-05-31"/>
    <s v="Facebook Ads"/>
    <x v="5"/>
    <s v="Self Employed"/>
    <n v="65000"/>
    <n v="700"/>
    <n v="50000"/>
    <x v="5"/>
    <x v="0"/>
  </r>
  <r>
    <s v="LD1284"/>
    <s v="2026-05-18"/>
    <s v="Facebook Ads"/>
    <x v="0"/>
    <s v="Self Employed"/>
    <n v="55000"/>
    <n v="740"/>
    <n v="75000"/>
    <x v="5"/>
    <x v="0"/>
  </r>
  <r>
    <s v="LD1090"/>
    <s v="2026-05-22"/>
    <s v="Google Ads - Brand"/>
    <x v="0"/>
    <s v="Self Employed"/>
    <n v="65000"/>
    <n v="700"/>
    <n v="250000"/>
    <x v="5"/>
    <x v="0"/>
  </r>
  <r>
    <s v="LD1140"/>
    <s v="2026-05-27"/>
    <s v="Google Ads - Brand"/>
    <x v="1"/>
    <s v="Self Employed"/>
    <n v="32000"/>
    <n v="720"/>
    <n v="200000"/>
    <x v="5"/>
    <x v="0"/>
  </r>
  <r>
    <s v="LD1010"/>
    <s v="2026-05-11"/>
    <s v="Google Ads - Competitor"/>
    <x v="9"/>
    <s v="Self Employed"/>
    <n v="65000"/>
    <n v="800"/>
    <n v="250000"/>
    <x v="5"/>
    <x v="0"/>
  </r>
  <r>
    <s v="LD1117"/>
    <s v="2026-06-23"/>
    <s v="Google Ads - Competitor"/>
    <x v="5"/>
    <s v="Self Employed"/>
    <n v="15000"/>
    <n v="580"/>
    <n v="250000"/>
    <x v="5"/>
    <x v="0"/>
  </r>
  <r>
    <s v="LD1258"/>
    <s v="2026-05-18"/>
    <s v="Google Ads - Competitor"/>
    <x v="4"/>
    <s v="Self Employed"/>
    <n v="18000"/>
    <n v="670"/>
    <n v="200000"/>
    <x v="5"/>
    <x v="0"/>
  </r>
  <r>
    <s v="LD1005"/>
    <s v="2026-05-22"/>
    <s v="Google Ads - Generic"/>
    <x v="6"/>
    <s v="Self Employed"/>
    <n v="28000"/>
    <n v="610"/>
    <n v="300000"/>
    <x v="5"/>
    <x v="0"/>
  </r>
  <r>
    <s v="LD1035"/>
    <s v="2026-05-04"/>
    <s v="Google Ads - Generic"/>
    <x v="8"/>
    <s v="Self Employed"/>
    <n v="40000"/>
    <n v="740"/>
    <n v="150000"/>
    <x v="5"/>
    <x v="0"/>
  </r>
  <r>
    <s v="LD1076"/>
    <s v="2026-05-22"/>
    <s v="Google Ads - Generic"/>
    <x v="9"/>
    <s v="Self Employed"/>
    <n v="22000"/>
    <n v="650"/>
    <n v="150000"/>
    <x v="5"/>
    <x v="0"/>
  </r>
  <r>
    <s v="LD1082"/>
    <s v="2026-05-22"/>
    <s v="Google Ads - Generic"/>
    <x v="7"/>
    <s v="Self Employed"/>
    <n v="35000"/>
    <n v="700"/>
    <n v="100000"/>
    <x v="5"/>
    <x v="0"/>
  </r>
  <r>
    <s v="LD1107"/>
    <s v="2026-05-27"/>
    <s v="Google Ads - Generic"/>
    <x v="5"/>
    <s v="Self Employed"/>
    <n v="18000"/>
    <n v="650"/>
    <n v="300000"/>
    <x v="5"/>
    <x v="0"/>
  </r>
  <r>
    <s v="LD1134"/>
    <s v="2026-05-01"/>
    <s v="Google Ads - Generic"/>
    <x v="4"/>
    <s v="Self Employed"/>
    <n v="18000"/>
    <n v="740"/>
    <n v="150000"/>
    <x v="5"/>
    <x v="0"/>
  </r>
  <r>
    <s v="LD1254"/>
    <s v="2026-06-11"/>
    <s v="Organic Search"/>
    <x v="4"/>
    <s v="Self Employed"/>
    <n v="35000"/>
    <n v="780"/>
    <n v="100000"/>
    <x v="5"/>
    <x v="0"/>
  </r>
  <r>
    <s v="LD1014"/>
    <s v="2026-05-16"/>
    <s v="Referral"/>
    <x v="2"/>
    <s v="Self Employed"/>
    <n v="65000"/>
    <n v="740"/>
    <n v="75000"/>
    <x v="5"/>
    <x v="0"/>
  </r>
  <r>
    <s v="LD1135"/>
    <s v="2026-05-17"/>
    <s v="Referral"/>
    <x v="8"/>
    <s v="Self Employed"/>
    <n v="65000"/>
    <n v="610"/>
    <n v="300000"/>
    <x v="5"/>
    <x v="0"/>
  </r>
  <r>
    <s v="LD1233"/>
    <s v="2026-05-05"/>
    <s v="Referral"/>
    <x v="8"/>
    <s v="Self Employed"/>
    <n v="40000"/>
    <n v="800"/>
    <n v="75000"/>
    <x v="5"/>
    <x v="0"/>
  </r>
  <r>
    <s v="LD1251"/>
    <s v="2026-06-20"/>
    <s v="Referral"/>
    <x v="8"/>
    <s v="Self Employed"/>
    <n v="45000"/>
    <n v="650"/>
    <n v="75000"/>
    <x v="5"/>
    <x v="0"/>
  </r>
  <r>
    <s v="LD1299"/>
    <s v="2026-05-07"/>
    <s v="Referral"/>
    <x v="6"/>
    <s v="Self Employed"/>
    <n v="45000"/>
    <n v="700"/>
    <n v="250000"/>
    <x v="5"/>
    <x v="0"/>
  </r>
  <r>
    <s v="LD1274"/>
    <s v="2026-05-03"/>
    <s v="Facebook Ads"/>
    <x v="0"/>
    <s v="Salaried"/>
    <n v="25000"/>
    <n v="780"/>
    <n v="50000"/>
    <x v="6"/>
    <x v="1"/>
  </r>
  <r>
    <s v="LD1108"/>
    <s v="2026-06-07"/>
    <s v="Facebook Ads"/>
    <x v="5"/>
    <s v="Salaried"/>
    <n v="45000"/>
    <n v="720"/>
    <n v="100000"/>
    <x v="6"/>
    <x v="2"/>
  </r>
  <r>
    <s v="LD1256"/>
    <s v="2026-05-04"/>
    <s v="Facebook Ads"/>
    <x v="5"/>
    <s v="Salaried"/>
    <n v="22000"/>
    <n v="720"/>
    <n v="300000"/>
    <x v="6"/>
    <x v="3"/>
  </r>
  <r>
    <s v="LD1279"/>
    <s v="2026-06-10"/>
    <s v="Facebook Ads"/>
    <x v="5"/>
    <s v="Salaried"/>
    <n v="15000"/>
    <n v="780"/>
    <n v="200000"/>
    <x v="6"/>
    <x v="3"/>
  </r>
  <r>
    <s v="LD1192"/>
    <s v="2026-05-21"/>
    <s v="Google Ads - Brand"/>
    <x v="6"/>
    <s v="Salaried"/>
    <n v="35000"/>
    <s v="Not Available"/>
    <n v="300000"/>
    <x v="6"/>
    <x v="4"/>
  </r>
  <r>
    <s v="LD1009"/>
    <s v="2026-05-24"/>
    <s v="Google Ads - Brand"/>
    <x v="9"/>
    <s v="Salaried"/>
    <n v="35000"/>
    <n v="670"/>
    <n v="75000"/>
    <x v="6"/>
    <x v="5"/>
  </r>
  <r>
    <s v="LD1029"/>
    <s v="2026-06-16"/>
    <s v="Google Ads - Competitor"/>
    <x v="3"/>
    <s v="Salaried"/>
    <n v="28000"/>
    <n v="800"/>
    <n v="75000"/>
    <x v="6"/>
    <x v="1"/>
  </r>
  <r>
    <s v="LD1287"/>
    <s v="2026-05-23"/>
    <s v="Google Ads - Competitor"/>
    <x v="1"/>
    <s v="Salaried"/>
    <n v="55000"/>
    <n v="800"/>
    <n v="300000"/>
    <x v="6"/>
    <x v="2"/>
  </r>
  <r>
    <s v="LD1268"/>
    <s v="2026-05-02"/>
    <s v="Google Ads - Competitor"/>
    <x v="9"/>
    <s v="Salaried"/>
    <n v="40000"/>
    <n v="760"/>
    <n v="150000"/>
    <x v="6"/>
    <x v="5"/>
  </r>
  <r>
    <s v="LD1024"/>
    <s v="2026-05-11"/>
    <s v="Organic Search"/>
    <x v="3"/>
    <s v="Salaried"/>
    <n v="22000"/>
    <n v="800"/>
    <n v="200000"/>
    <x v="6"/>
    <x v="3"/>
  </r>
  <r>
    <s v="LD1123"/>
    <s v="2026-06-03"/>
    <s v="Organic Search"/>
    <x v="4"/>
    <s v="Salaried"/>
    <n v="65000"/>
    <n v="760"/>
    <n v="75000"/>
    <x v="6"/>
    <x v="4"/>
  </r>
  <r>
    <s v="LD1127"/>
    <s v="2026-06-23"/>
    <s v="Organic Search"/>
    <x v="3"/>
    <s v="Salaried"/>
    <n v="40000"/>
    <n v="670"/>
    <n v="150000"/>
    <x v="6"/>
    <x v="5"/>
  </r>
  <r>
    <s v="LD1113"/>
    <s v="2026-05-10"/>
    <s v="Referral"/>
    <x v="5"/>
    <s v="Salaried"/>
    <n v="35000"/>
    <n v="580"/>
    <n v="250000"/>
    <x v="6"/>
    <x v="6"/>
  </r>
  <r>
    <s v="LD1204"/>
    <s v="2026-06-21"/>
    <s v="Facebook Ads"/>
    <x v="9"/>
    <s v="Self Employed"/>
    <n v="55000"/>
    <n v="740"/>
    <n v="50000"/>
    <x v="6"/>
    <x v="2"/>
  </r>
  <r>
    <s v="LD1275"/>
    <s v="2026-05-21"/>
    <s v="Google Ads - Brand"/>
    <x v="8"/>
    <s v="Self Employed"/>
    <n v="40000"/>
    <n v="760"/>
    <n v="75000"/>
    <x v="6"/>
    <x v="1"/>
  </r>
  <r>
    <s v="LD1031"/>
    <s v="2026-05-26"/>
    <s v="Google Ads - Brand"/>
    <x v="6"/>
    <s v="Self Employed"/>
    <n v="35000"/>
    <n v="720"/>
    <n v="50000"/>
    <x v="6"/>
    <x v="4"/>
  </r>
  <r>
    <s v="LD1296"/>
    <s v="2026-06-02"/>
    <s v="Google Ads - Brand"/>
    <x v="0"/>
    <s v="Self Employed"/>
    <n v="40000"/>
    <n v="800"/>
    <n v="300000"/>
    <x v="6"/>
    <x v="7"/>
  </r>
  <r>
    <s v="LD1168"/>
    <s v="2026-05-15"/>
    <s v="Google Ads - Brand"/>
    <x v="3"/>
    <s v="Self Employed"/>
    <n v="40000"/>
    <n v="700"/>
    <n v="200000"/>
    <x v="6"/>
    <x v="8"/>
  </r>
  <r>
    <s v="LD1019"/>
    <s v="2026-06-16"/>
    <s v="Google Ads - Competitor"/>
    <x v="3"/>
    <s v="Self Employed"/>
    <n v="35000"/>
    <n v="610"/>
    <n v="250000"/>
    <x v="6"/>
    <x v="6"/>
  </r>
  <r>
    <s v="LD1190"/>
    <s v="2026-05-12"/>
    <s v="Google Ads - Competitor"/>
    <x v="1"/>
    <s v="Self Employed"/>
    <n v="18000"/>
    <s v="Not Available"/>
    <n v="150000"/>
    <x v="6"/>
    <x v="3"/>
  </r>
  <r>
    <s v="LD1196"/>
    <s v="2026-06-03"/>
    <s v="Google Ads - Competitor"/>
    <x v="9"/>
    <s v="Self Employed"/>
    <n v="22000"/>
    <n v="580"/>
    <n v="50000"/>
    <x v="6"/>
    <x v="3"/>
  </r>
  <r>
    <s v="LD1277"/>
    <s v="2026-06-13"/>
    <s v="Google Ads - Competitor"/>
    <x v="4"/>
    <s v="Self Employed"/>
    <n v="55000"/>
    <n v="670"/>
    <n v="100000"/>
    <x v="6"/>
    <x v="8"/>
  </r>
  <r>
    <s v="LD1272"/>
    <s v="2026-06-05"/>
    <s v="Google Ads - Generic"/>
    <x v="0"/>
    <s v="Self Employed"/>
    <n v="18000"/>
    <n v="720"/>
    <n v="300000"/>
    <x v="6"/>
    <x v="3"/>
  </r>
  <r>
    <s v="LD1282"/>
    <s v="2026-05-21"/>
    <s v="Google Ads - Generic"/>
    <x v="6"/>
    <s v="Self Employed"/>
    <n v="15000"/>
    <n v="610"/>
    <n v="200000"/>
    <x v="6"/>
    <x v="3"/>
  </r>
  <r>
    <s v="LD1083"/>
    <s v="2026-06-04"/>
    <s v="Organic Search"/>
    <x v="1"/>
    <s v="Self Employed"/>
    <n v="28000"/>
    <n v="580"/>
    <n v="250000"/>
    <x v="6"/>
    <x v="6"/>
  </r>
  <r>
    <s v="LD1283"/>
    <s v="2026-05-22"/>
    <s v="Referral"/>
    <x v="2"/>
    <s v="Self Employed"/>
    <n v="32000"/>
    <n v="610"/>
    <n v="200000"/>
    <x v="6"/>
    <x v="6"/>
  </r>
  <r>
    <s v="LD1250"/>
    <s v="2026-05-11"/>
    <s v="Referral"/>
    <x v="0"/>
    <s v="Self Employed"/>
    <n v="18000"/>
    <n v="760"/>
    <n v="100000"/>
    <x v="6"/>
    <x v="3"/>
  </r>
  <r>
    <s v="LD1265"/>
    <s v="2026-05-21"/>
    <s v="Referral"/>
    <x v="0"/>
    <s v="Self Employed"/>
    <n v="22000"/>
    <n v="700"/>
    <n v="50000"/>
    <x v="6"/>
    <x v="3"/>
  </r>
  <r>
    <s v="LD1228"/>
    <s v="2026-05-23"/>
    <s v="Facebook Ads"/>
    <x v="7"/>
    <s v="Salaried"/>
    <n v="22000"/>
    <n v="670"/>
    <n v="200000"/>
    <x v="7"/>
    <x v="0"/>
  </r>
  <r>
    <s v="LD1253"/>
    <s v="2026-06-16"/>
    <s v="Facebook Ads"/>
    <x v="8"/>
    <s v="Salaried"/>
    <n v="18000"/>
    <n v="670"/>
    <n v="250000"/>
    <x v="7"/>
    <x v="0"/>
  </r>
  <r>
    <s v="LD1291"/>
    <s v="2026-05-31"/>
    <s v="Facebook Ads"/>
    <x v="9"/>
    <s v="Salaried"/>
    <n v="15000"/>
    <n v="580"/>
    <n v="250000"/>
    <x v="7"/>
    <x v="0"/>
  </r>
  <r>
    <s v="LD1081"/>
    <s v="2026-05-30"/>
    <s v="Google Ads - Brand"/>
    <x v="6"/>
    <s v="Salaried"/>
    <n v="18000"/>
    <n v="800"/>
    <n v="300000"/>
    <x v="7"/>
    <x v="0"/>
  </r>
  <r>
    <s v="LD1158"/>
    <s v="2026-06-14"/>
    <s v="Google Ads - Brand"/>
    <x v="9"/>
    <s v="Salaried"/>
    <n v="35000"/>
    <n v="740"/>
    <n v="250000"/>
    <x v="7"/>
    <x v="0"/>
  </r>
  <r>
    <s v="LD1281"/>
    <s v="2026-06-14"/>
    <s v="Google Ads - Brand"/>
    <x v="9"/>
    <s v="Salaried"/>
    <n v="40000"/>
    <n v="700"/>
    <n v="150000"/>
    <x v="7"/>
    <x v="0"/>
  </r>
  <r>
    <s v="LD1292"/>
    <s v="2026-05-31"/>
    <s v="Google Ads - Brand"/>
    <x v="8"/>
    <s v="Salaried"/>
    <n v="45000"/>
    <n v="610"/>
    <n v="150000"/>
    <x v="7"/>
    <x v="0"/>
  </r>
  <r>
    <s v="LD1053"/>
    <s v="2026-05-27"/>
    <s v="Google Ads - Competitor"/>
    <x v="9"/>
    <s v="Salaried"/>
    <n v="65000"/>
    <n v="580"/>
    <n v="200000"/>
    <x v="7"/>
    <x v="0"/>
  </r>
  <r>
    <s v="LD1273"/>
    <s v="2026-05-22"/>
    <s v="Google Ads - Competitor"/>
    <x v="5"/>
    <s v="Salaried"/>
    <n v="22000"/>
    <n v="580"/>
    <n v="300000"/>
    <x v="7"/>
    <x v="0"/>
  </r>
  <r>
    <s v="LD1211"/>
    <s v="2026-05-02"/>
    <s v="Google Ads - Generic"/>
    <x v="4"/>
    <s v="Salaried"/>
    <n v="65000"/>
    <n v="800"/>
    <n v="100000"/>
    <x v="7"/>
    <x v="0"/>
  </r>
  <r>
    <s v="LD1244"/>
    <s v="2026-05-03"/>
    <s v="Google Ads - Generic"/>
    <x v="3"/>
    <s v="Salaried"/>
    <n v="65000"/>
    <n v="700"/>
    <n v="200000"/>
    <x v="7"/>
    <x v="0"/>
  </r>
  <r>
    <s v="LD1160"/>
    <s v="2026-05-24"/>
    <s v="Organic Search"/>
    <x v="1"/>
    <s v="Salaried"/>
    <n v="32000"/>
    <n v="650"/>
    <n v="75000"/>
    <x v="7"/>
    <x v="0"/>
  </r>
  <r>
    <s v="LD1176"/>
    <s v="2026-06-17"/>
    <s v="Organic Search"/>
    <x v="3"/>
    <s v="Salaried"/>
    <n v="18000"/>
    <n v="580"/>
    <n v="250000"/>
    <x v="7"/>
    <x v="0"/>
  </r>
  <r>
    <s v="LD1210"/>
    <s v="2026-05-22"/>
    <s v="Organic Search"/>
    <x v="8"/>
    <s v="Salaried"/>
    <n v="28000"/>
    <n v="760"/>
    <n v="300000"/>
    <x v="7"/>
    <x v="0"/>
  </r>
  <r>
    <s v="LD1242"/>
    <s v="2026-06-21"/>
    <s v="Referral"/>
    <x v="7"/>
    <s v="Salaried"/>
    <n v="65000"/>
    <n v="800"/>
    <n v="200000"/>
    <x v="7"/>
    <x v="0"/>
  </r>
  <r>
    <s v="LD1245"/>
    <s v="2026-06-06"/>
    <s v="Facebook Ads"/>
    <x v="8"/>
    <s v="Self Employed"/>
    <n v="32000"/>
    <n v="700"/>
    <n v="50000"/>
    <x v="7"/>
    <x v="0"/>
  </r>
  <r>
    <s v="LD1058"/>
    <s v="2026-06-04"/>
    <s v="Google Ads - Brand"/>
    <x v="1"/>
    <s v="Self Employed"/>
    <n v="65000"/>
    <n v="760"/>
    <n v="300000"/>
    <x v="7"/>
    <x v="0"/>
  </r>
  <r>
    <s v="LD1060"/>
    <s v="2026-05-08"/>
    <s v="Google Ads - Brand"/>
    <x v="5"/>
    <s v="Self Employed"/>
    <n v="32000"/>
    <n v="700"/>
    <n v="200000"/>
    <x v="7"/>
    <x v="0"/>
  </r>
  <r>
    <s v="LD1138"/>
    <s v="2026-06-18"/>
    <s v="Google Ads - Brand"/>
    <x v="9"/>
    <s v="Self Employed"/>
    <n v="25000"/>
    <n v="580"/>
    <n v="50000"/>
    <x v="7"/>
    <x v="0"/>
  </r>
  <r>
    <s v="LD1232"/>
    <s v="2026-06-22"/>
    <s v="Google Ads - Brand"/>
    <x v="5"/>
    <s v="Self Employed"/>
    <n v="22000"/>
    <s v="Not Available"/>
    <n v="100000"/>
    <x v="7"/>
    <x v="0"/>
  </r>
  <r>
    <s v="LD1194"/>
    <s v="2026-05-16"/>
    <s v="Google Ads - Competitor"/>
    <x v="8"/>
    <s v="Self Employed"/>
    <n v="32000"/>
    <n v="580"/>
    <n v="50000"/>
    <x v="7"/>
    <x v="0"/>
  </r>
  <r>
    <s v="LD1271"/>
    <s v="2026-06-05"/>
    <s v="Google Ads - Competitor"/>
    <x v="0"/>
    <s v="Self Employed"/>
    <n v="32000"/>
    <s v="Not Available"/>
    <n v="200000"/>
    <x v="7"/>
    <x v="0"/>
  </r>
  <r>
    <s v="LD1066"/>
    <s v="2026-06-02"/>
    <s v="Google Ads - Generic"/>
    <x v="6"/>
    <s v="Self Employed"/>
    <n v="40000"/>
    <n v="740"/>
    <n v="75000"/>
    <x v="7"/>
    <x v="0"/>
  </r>
  <r>
    <s v="LD1145"/>
    <s v="2026-06-06"/>
    <s v="Google Ads - Generic"/>
    <x v="6"/>
    <s v="Self Employed"/>
    <n v="18000"/>
    <n v="650"/>
    <n v="100000"/>
    <x v="7"/>
    <x v="0"/>
  </r>
  <r>
    <s v="LD1131"/>
    <s v="2026-05-13"/>
    <s v="Organic Search"/>
    <x v="0"/>
    <s v="Self Employed"/>
    <n v="45000"/>
    <n v="760"/>
    <n v="100000"/>
    <x v="7"/>
    <x v="0"/>
  </r>
  <r>
    <s v="LD1195"/>
    <s v="2026-06-17"/>
    <s v="Organic Search"/>
    <x v="5"/>
    <s v="Self Employed"/>
    <n v="45000"/>
    <n v="580"/>
    <n v="100000"/>
    <x v="7"/>
    <x v="0"/>
  </r>
  <r>
    <s v="LD1201"/>
    <s v="2026-05-20"/>
    <s v="Organic Search"/>
    <x v="1"/>
    <s v="Self Employed"/>
    <n v="55000"/>
    <s v="Not Available"/>
    <n v="50000"/>
    <x v="7"/>
    <x v="0"/>
  </r>
  <r>
    <s v="LD1026"/>
    <s v="2026-05-29"/>
    <s v="Referral"/>
    <x v="1"/>
    <s v="Self Employed"/>
    <n v="65000"/>
    <n v="800"/>
    <n v="200000"/>
    <x v="7"/>
    <x v="0"/>
  </r>
  <r>
    <s v="LD1119"/>
    <s v="2026-06-01"/>
    <s v="Referral"/>
    <x v="2"/>
    <s v="Self Employed"/>
    <n v="22000"/>
    <n v="780"/>
    <n v="300000"/>
    <x v="7"/>
    <x v="0"/>
  </r>
  <r>
    <s v="LD1186"/>
    <s v="2026-05-29"/>
    <s v="Referral"/>
    <x v="3"/>
    <s v="Self Employed"/>
    <n v="40000"/>
    <n v="800"/>
    <n v="200000"/>
    <x v="7"/>
    <x v="0"/>
  </r>
  <r>
    <s v="LD1087"/>
    <s v="2026-06-06"/>
    <s v="Facebook Ads"/>
    <x v="3"/>
    <s v="Salaried"/>
    <n v="28000"/>
    <n v="580"/>
    <n v="100000"/>
    <x v="8"/>
    <x v="6"/>
  </r>
  <r>
    <s v="LD1008"/>
    <s v="2026-05-19"/>
    <s v="Facebook Ads"/>
    <x v="0"/>
    <s v="Salaried"/>
    <n v="18000"/>
    <s v="Not Available"/>
    <n v="300000"/>
    <x v="8"/>
    <x v="3"/>
  </r>
  <r>
    <s v="LD1141"/>
    <s v="2026-06-09"/>
    <s v="Facebook Ads"/>
    <x v="8"/>
    <s v="Salaried"/>
    <n v="22000"/>
    <n v="580"/>
    <n v="150000"/>
    <x v="8"/>
    <x v="3"/>
  </r>
  <r>
    <s v="LD1171"/>
    <s v="2026-06-05"/>
    <s v="Facebook Ads"/>
    <x v="8"/>
    <s v="Salaried"/>
    <n v="22000"/>
    <n v="670"/>
    <n v="200000"/>
    <x v="8"/>
    <x v="3"/>
  </r>
  <r>
    <s v="LD1118"/>
    <s v="2026-06-03"/>
    <s v="Facebook Ads"/>
    <x v="5"/>
    <s v="Salaried"/>
    <n v="65000"/>
    <n v="670"/>
    <n v="150000"/>
    <x v="8"/>
    <x v="7"/>
  </r>
  <r>
    <s v="LD1007"/>
    <s v="2026-06-10"/>
    <s v="Google Ads - Brand"/>
    <x v="2"/>
    <s v="Salaried"/>
    <n v="35000"/>
    <n v="580"/>
    <n v="300000"/>
    <x v="8"/>
    <x v="6"/>
  </r>
  <r>
    <s v="LD1059"/>
    <s v="2026-05-03"/>
    <s v="Google Ads - Competitor"/>
    <x v="7"/>
    <s v="Salaried"/>
    <n v="28000"/>
    <n v="610"/>
    <n v="100000"/>
    <x v="8"/>
    <x v="6"/>
  </r>
  <r>
    <s v="LD1177"/>
    <s v="2026-05-23"/>
    <s v="Google Ads - Competitor"/>
    <x v="8"/>
    <s v="Salaried"/>
    <n v="55000"/>
    <n v="760"/>
    <n v="150000"/>
    <x v="8"/>
    <x v="4"/>
  </r>
  <r>
    <s v="LD1225"/>
    <s v="2026-05-17"/>
    <s v="Google Ads - Competitor"/>
    <x v="2"/>
    <s v="Salaried"/>
    <n v="40000"/>
    <n v="740"/>
    <n v="50000"/>
    <x v="8"/>
    <x v="4"/>
  </r>
  <r>
    <s v="LD1298"/>
    <s v="2026-06-09"/>
    <s v="Google Ads - Competitor"/>
    <x v="8"/>
    <s v="Salaried"/>
    <n v="32000"/>
    <n v="670"/>
    <n v="75000"/>
    <x v="8"/>
    <x v="7"/>
  </r>
  <r>
    <s v="LD1017"/>
    <s v="2026-05-17"/>
    <s v="Google Ads - Generic"/>
    <x v="6"/>
    <s v="Salaried"/>
    <n v="35000"/>
    <n v="720"/>
    <n v="200000"/>
    <x v="8"/>
    <x v="2"/>
  </r>
  <r>
    <s v="LD1216"/>
    <s v="2026-06-09"/>
    <s v="Google Ads - Generic"/>
    <x v="2"/>
    <s v="Salaried"/>
    <n v="35000"/>
    <n v="700"/>
    <n v="150000"/>
    <x v="8"/>
    <x v="7"/>
  </r>
  <r>
    <s v="LD1067"/>
    <s v="2026-05-06"/>
    <s v="Organic Search"/>
    <x v="8"/>
    <s v="Salaried"/>
    <n v="28000"/>
    <n v="760"/>
    <n v="100000"/>
    <x v="8"/>
    <x v="1"/>
  </r>
  <r>
    <s v="LD1043"/>
    <s v="2026-05-07"/>
    <s v="Organic Search"/>
    <x v="0"/>
    <s v="Salaried"/>
    <n v="15000"/>
    <n v="740"/>
    <n v="200000"/>
    <x v="8"/>
    <x v="3"/>
  </r>
  <r>
    <s v="LD1162"/>
    <s v="2026-06-20"/>
    <s v="Organic Search"/>
    <x v="3"/>
    <s v="Salaried"/>
    <n v="65000"/>
    <n v="800"/>
    <n v="50000"/>
    <x v="8"/>
    <x v="4"/>
  </r>
  <r>
    <s v="LD1143"/>
    <s v="2026-05-29"/>
    <s v="Organic Search"/>
    <x v="1"/>
    <s v="Salaried"/>
    <n v="40000"/>
    <n v="670"/>
    <n v="50000"/>
    <x v="8"/>
    <x v="7"/>
  </r>
  <r>
    <s v="LD1243"/>
    <s v="2026-05-03"/>
    <s v="Referral"/>
    <x v="8"/>
    <s v="Salaried"/>
    <n v="22000"/>
    <n v="780"/>
    <n v="150000"/>
    <x v="8"/>
    <x v="3"/>
  </r>
  <r>
    <s v="LD1069"/>
    <s v="2026-05-26"/>
    <s v="Facebook Ads"/>
    <x v="3"/>
    <s v="Self Employed"/>
    <n v="35000"/>
    <n v="800"/>
    <n v="150000"/>
    <x v="8"/>
    <x v="2"/>
  </r>
  <r>
    <s v="LD1041"/>
    <s v="2026-05-14"/>
    <s v="Facebook Ads"/>
    <x v="3"/>
    <s v="Self Employed"/>
    <n v="65000"/>
    <n v="780"/>
    <n v="100000"/>
    <x v="8"/>
    <x v="8"/>
  </r>
  <r>
    <s v="LD1106"/>
    <s v="2026-05-10"/>
    <s v="Google Ads - Brand"/>
    <x v="6"/>
    <s v="Self Employed"/>
    <n v="18000"/>
    <n v="780"/>
    <n v="50000"/>
    <x v="8"/>
    <x v="3"/>
  </r>
  <r>
    <s v="LD1203"/>
    <s v="2026-06-21"/>
    <s v="Google Ads - Brand"/>
    <x v="5"/>
    <s v="Self Employed"/>
    <n v="40000"/>
    <n v="780"/>
    <n v="150000"/>
    <x v="8"/>
    <x v="4"/>
  </r>
  <r>
    <s v="LD1094"/>
    <s v="2026-06-01"/>
    <s v="Google Ads - Brand"/>
    <x v="1"/>
    <s v="Self Employed"/>
    <n v="25000"/>
    <n v="740"/>
    <n v="50000"/>
    <x v="8"/>
    <x v="5"/>
  </r>
  <r>
    <s v="LD1269"/>
    <s v="2026-06-01"/>
    <s v="Google Ads - Brand"/>
    <x v="6"/>
    <s v="Self Employed"/>
    <n v="25000"/>
    <n v="650"/>
    <n v="100000"/>
    <x v="8"/>
    <x v="8"/>
  </r>
  <r>
    <s v="LD1278"/>
    <s v="2026-06-20"/>
    <s v="Google Ads - Brand"/>
    <x v="6"/>
    <s v="Self Employed"/>
    <n v="65000"/>
    <s v="Not Available"/>
    <n v="250000"/>
    <x v="8"/>
    <x v="8"/>
  </r>
  <r>
    <s v="LD1116"/>
    <s v="2026-06-17"/>
    <s v="Google Ads - Competitor"/>
    <x v="4"/>
    <s v="Self Employed"/>
    <n v="40000"/>
    <n v="580"/>
    <n v="150000"/>
    <x v="8"/>
    <x v="6"/>
  </r>
  <r>
    <s v="LD1050"/>
    <s v="2026-06-05"/>
    <s v="Google Ads - Competitor"/>
    <x v="8"/>
    <s v="Self Employed"/>
    <n v="22000"/>
    <n v="740"/>
    <n v="150000"/>
    <x v="8"/>
    <x v="3"/>
  </r>
  <r>
    <s v="LD1130"/>
    <s v="2026-06-04"/>
    <s v="Google Ads - Competitor"/>
    <x v="7"/>
    <s v="Self Employed"/>
    <n v="28000"/>
    <n v="780"/>
    <n v="150000"/>
    <x v="8"/>
    <x v="7"/>
  </r>
  <r>
    <s v="LD1063"/>
    <s v="2026-05-19"/>
    <s v="Google Ads - Competitor"/>
    <x v="3"/>
    <s v="Self Employed"/>
    <n v="45000"/>
    <n v="670"/>
    <n v="250000"/>
    <x v="8"/>
    <x v="8"/>
  </r>
  <r>
    <s v="LD1229"/>
    <s v="2026-05-24"/>
    <s v="Google Ads - Generic"/>
    <x v="5"/>
    <s v="Self Employed"/>
    <n v="22000"/>
    <n v="800"/>
    <n v="200000"/>
    <x v="8"/>
    <x v="3"/>
  </r>
  <r>
    <s v="LD1252"/>
    <s v="2026-05-30"/>
    <s v="Google Ads - Generic"/>
    <x v="9"/>
    <s v="Self Employed"/>
    <n v="15000"/>
    <n v="700"/>
    <n v="100000"/>
    <x v="8"/>
    <x v="3"/>
  </r>
  <r>
    <s v="LD1126"/>
    <s v="2026-05-08"/>
    <s v="Google Ads - Generic"/>
    <x v="8"/>
    <s v="Self Employed"/>
    <n v="45000"/>
    <s v="Not Available"/>
    <n v="300000"/>
    <x v="8"/>
    <x v="8"/>
  </r>
  <r>
    <s v="LD1246"/>
    <s v="2026-05-02"/>
    <s v="Google Ads - Generic"/>
    <x v="4"/>
    <s v="Self Employed"/>
    <n v="35000"/>
    <n v="700"/>
    <n v="50000"/>
    <x v="8"/>
    <x v="8"/>
  </r>
  <r>
    <s v="LD1241"/>
    <s v="2026-05-18"/>
    <s v="Organic Search"/>
    <x v="0"/>
    <s v="Self Employed"/>
    <n v="15000"/>
    <n v="700"/>
    <n v="150000"/>
    <x v="8"/>
    <x v="3"/>
  </r>
  <r>
    <s v="LD1175"/>
    <s v="2026-06-13"/>
    <s v="Organic Search"/>
    <x v="3"/>
    <s v="Self Employed"/>
    <n v="35000"/>
    <n v="700"/>
    <n v="75000"/>
    <x v="8"/>
    <x v="8"/>
  </r>
  <r>
    <s v="LD1264"/>
    <s v="2026-05-21"/>
    <s v="Organic Search"/>
    <x v="2"/>
    <s v="Self Employed"/>
    <n v="25000"/>
    <n v="700"/>
    <n v="250000"/>
    <x v="8"/>
    <x v="8"/>
  </r>
  <r>
    <s v="LD1088"/>
    <s v="2026-06-10"/>
    <s v="Referral"/>
    <x v="6"/>
    <s v="Self Employed"/>
    <n v="25000"/>
    <n v="580"/>
    <n v="300000"/>
    <x v="8"/>
    <x v="6"/>
  </r>
  <r>
    <s v="LD1104"/>
    <s v="2026-05-31"/>
    <s v="Referral"/>
    <x v="8"/>
    <s v="Self Employed"/>
    <n v="18000"/>
    <s v="Not Available"/>
    <n v="150000"/>
    <x v="8"/>
    <x v="3"/>
  </r>
  <r>
    <s v="LD1293"/>
    <s v="2026-06-06"/>
    <s v="Referral"/>
    <x v="9"/>
    <s v="Self Employed"/>
    <n v="32000"/>
    <n v="670"/>
    <n v="250000"/>
    <x v="8"/>
    <x v="4"/>
  </r>
  <r>
    <s v="LD1147"/>
    <s v="2026-05-13"/>
    <s v="Referral"/>
    <x v="7"/>
    <s v="Self Employed"/>
    <n v="28000"/>
    <n v="650"/>
    <n v="250000"/>
    <x v="8"/>
    <x v="8"/>
  </r>
  <r>
    <m/>
    <m/>
    <m/>
    <x v="10"/>
    <m/>
    <m/>
    <m/>
    <m/>
    <x v="9"/>
    <x v="0"/>
  </r>
  <r>
    <m/>
    <m/>
    <m/>
    <x v="10"/>
    <m/>
    <m/>
    <m/>
    <m/>
    <x v="9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s v="LD1003"/>
    <s v="2026-06-04"/>
    <x v="0"/>
    <s v="Ahmedabad"/>
    <x v="0"/>
    <n v="45000"/>
    <n v="650"/>
    <n v="250000"/>
    <x v="0"/>
    <m/>
    <m/>
  </r>
  <r>
    <s v="LD1097"/>
    <s v="2026-06-20"/>
    <x v="1"/>
    <s v="Ahmedabad"/>
    <x v="0"/>
    <n v="40000"/>
    <n v="800"/>
    <n v="150000"/>
    <x v="0"/>
    <m/>
    <m/>
  </r>
  <r>
    <s v="LD1276"/>
    <s v="2026-06-07"/>
    <x v="2"/>
    <s v="Bangalore"/>
    <x v="0"/>
    <n v="35000"/>
    <n v="780"/>
    <n v="100000"/>
    <x v="0"/>
    <m/>
    <m/>
  </r>
  <r>
    <s v="LD1061"/>
    <s v="2026-06-03"/>
    <x v="1"/>
    <s v="Chandigarh"/>
    <x v="0"/>
    <n v="28000"/>
    <s v="Not Available"/>
    <n v="50000"/>
    <x v="0"/>
    <m/>
    <m/>
  </r>
  <r>
    <s v="LD1144"/>
    <s v="2026-05-20"/>
    <x v="3"/>
    <s v="Chandigarh"/>
    <x v="1"/>
    <n v="65000"/>
    <n v="720"/>
    <n v="150000"/>
    <x v="0"/>
    <m/>
    <m/>
  </r>
  <r>
    <s v="LD1205"/>
    <s v="2026-06-03"/>
    <x v="3"/>
    <s v="Gurgaon"/>
    <x v="0"/>
    <n v="15000"/>
    <n v="650"/>
    <n v="150000"/>
    <x v="0"/>
    <m/>
    <m/>
  </r>
  <r>
    <s v="LD1098"/>
    <s v="2026-06-12"/>
    <x v="4"/>
    <s v="Gurgaon"/>
    <x v="1"/>
    <n v="25000"/>
    <n v="720"/>
    <n v="100000"/>
    <x v="0"/>
    <m/>
    <m/>
  </r>
  <r>
    <s v="LD1263"/>
    <s v="2026-05-29"/>
    <x v="0"/>
    <s v="Jaipur"/>
    <x v="1"/>
    <n v="40000"/>
    <n v="580"/>
    <n v="75000"/>
    <x v="0"/>
    <m/>
    <m/>
  </r>
  <r>
    <s v="LD1149"/>
    <s v="2026-05-19"/>
    <x v="3"/>
    <s v="Lucknow"/>
    <x v="0"/>
    <n v="55000"/>
    <n v="700"/>
    <n v="50000"/>
    <x v="0"/>
    <m/>
    <m/>
  </r>
  <r>
    <s v="LD1248"/>
    <s v="2026-05-13"/>
    <x v="3"/>
    <s v="Lucknow"/>
    <x v="0"/>
    <n v="55000"/>
    <n v="670"/>
    <n v="150000"/>
    <x v="0"/>
    <m/>
    <m/>
  </r>
  <r>
    <s v="LD1220"/>
    <s v="2026-05-08"/>
    <x v="4"/>
    <s v="Lucknow"/>
    <x v="1"/>
    <n v="45000"/>
    <n v="580"/>
    <n v="200000"/>
    <x v="0"/>
    <m/>
    <m/>
  </r>
  <r>
    <s v="LD1285"/>
    <s v="2026-06-15"/>
    <x v="2"/>
    <s v="Pune"/>
    <x v="0"/>
    <n v="28000"/>
    <n v="670"/>
    <n v="250000"/>
    <x v="0"/>
    <m/>
    <m/>
  </r>
  <r>
    <s v="LD1115"/>
    <s v="2026-05-26"/>
    <x v="2"/>
    <s v="Pune"/>
    <x v="1"/>
    <n v="18000"/>
    <n v="740"/>
    <n v="250000"/>
    <x v="0"/>
    <m/>
    <m/>
  </r>
  <r>
    <s v="LD1240"/>
    <s v="2026-06-14"/>
    <x v="5"/>
    <s v="Pune"/>
    <x v="1"/>
    <n v="40000"/>
    <n v="780"/>
    <n v="75000"/>
    <x v="0"/>
    <m/>
    <m/>
  </r>
  <r>
    <s v="LD1223"/>
    <s v="2026-05-15"/>
    <x v="1"/>
    <s v="Ahmedabad"/>
    <x v="1"/>
    <n v="25000"/>
    <n v="720"/>
    <n v="100000"/>
    <x v="1"/>
    <m/>
    <m/>
  </r>
  <r>
    <s v="LD1103"/>
    <s v="2026-05-19"/>
    <x v="3"/>
    <s v="Delhi"/>
    <x v="0"/>
    <n v="28000"/>
    <s v="Not Available"/>
    <n v="200000"/>
    <x v="1"/>
    <m/>
    <m/>
  </r>
  <r>
    <s v="LD1169"/>
    <s v="2026-05-31"/>
    <x v="2"/>
    <s v="Delhi"/>
    <x v="1"/>
    <n v="40000"/>
    <n v="800"/>
    <n v="50000"/>
    <x v="1"/>
    <m/>
    <m/>
  </r>
  <r>
    <s v="LD1209"/>
    <s v="2026-06-12"/>
    <x v="3"/>
    <s v="Gurgaon"/>
    <x v="0"/>
    <n v="32000"/>
    <n v="670"/>
    <n v="250000"/>
    <x v="1"/>
    <m/>
    <m/>
  </r>
  <r>
    <s v="LD1183"/>
    <s v="2026-06-17"/>
    <x v="2"/>
    <s v="Jaipur"/>
    <x v="0"/>
    <n v="22000"/>
    <n v="800"/>
    <n v="50000"/>
    <x v="1"/>
    <m/>
    <m/>
  </r>
  <r>
    <s v="LD1208"/>
    <s v="2026-05-10"/>
    <x v="2"/>
    <s v="Jaipur"/>
    <x v="1"/>
    <n v="28000"/>
    <n v="800"/>
    <n v="200000"/>
    <x v="1"/>
    <m/>
    <m/>
  </r>
  <r>
    <s v="LD1091"/>
    <s v="2026-06-23"/>
    <x v="4"/>
    <s v="Jaipur"/>
    <x v="1"/>
    <n v="18000"/>
    <n v="720"/>
    <n v="250000"/>
    <x v="1"/>
    <m/>
    <m/>
  </r>
  <r>
    <s v="LD1133"/>
    <s v="2026-05-03"/>
    <x v="5"/>
    <s v="Jaipur"/>
    <x v="1"/>
    <n v="65000"/>
    <n v="800"/>
    <n v="150000"/>
    <x v="1"/>
    <m/>
    <m/>
  </r>
  <r>
    <s v="LD1218"/>
    <s v="2026-06-19"/>
    <x v="1"/>
    <s v="Mumbai"/>
    <x v="1"/>
    <n v="65000"/>
    <n v="780"/>
    <n v="150000"/>
    <x v="1"/>
    <m/>
    <m/>
  </r>
  <r>
    <s v="LD1092"/>
    <s v="2026-06-09"/>
    <x v="1"/>
    <s v="Noida"/>
    <x v="1"/>
    <n v="22000"/>
    <n v="760"/>
    <n v="100000"/>
    <x v="1"/>
    <m/>
    <m/>
  </r>
  <r>
    <s v="LD1151"/>
    <s v="2026-06-17"/>
    <x v="2"/>
    <s v="Pune"/>
    <x v="0"/>
    <n v="28000"/>
    <n v="740"/>
    <n v="100000"/>
    <x v="1"/>
    <m/>
    <m/>
  </r>
  <r>
    <s v="LD1214"/>
    <s v="2026-05-09"/>
    <x v="2"/>
    <s v="Ahmedabad"/>
    <x v="0"/>
    <n v="65000"/>
    <n v="700"/>
    <n v="200000"/>
    <x v="2"/>
    <m/>
    <m/>
  </r>
  <r>
    <s v="LD1020"/>
    <s v="2026-06-23"/>
    <x v="3"/>
    <s v="Ahmedabad"/>
    <x v="0"/>
    <n v="45000"/>
    <n v="580"/>
    <n v="100000"/>
    <x v="2"/>
    <m/>
    <m/>
  </r>
  <r>
    <s v="LD1294"/>
    <s v="2026-05-03"/>
    <x v="0"/>
    <s v="Ahmedabad"/>
    <x v="0"/>
    <n v="22000"/>
    <n v="720"/>
    <n v="75000"/>
    <x v="2"/>
    <m/>
    <m/>
  </r>
  <r>
    <s v="LD1021"/>
    <s v="2026-06-19"/>
    <x v="5"/>
    <s v="Ahmedabad"/>
    <x v="0"/>
    <n v="22000"/>
    <n v="700"/>
    <n v="200000"/>
    <x v="2"/>
    <m/>
    <m/>
  </r>
  <r>
    <s v="LD1025"/>
    <s v="2026-05-13"/>
    <x v="3"/>
    <s v="Ahmedabad"/>
    <x v="1"/>
    <n v="25000"/>
    <n v="760"/>
    <n v="250000"/>
    <x v="2"/>
    <m/>
    <m/>
  </r>
  <r>
    <s v="LD1015"/>
    <s v="2026-05-24"/>
    <x v="5"/>
    <s v="Ahmedabad"/>
    <x v="1"/>
    <n v="55000"/>
    <n v="720"/>
    <n v="150000"/>
    <x v="2"/>
    <m/>
    <m/>
  </r>
  <r>
    <s v="LD1084"/>
    <s v="2026-05-03"/>
    <x v="4"/>
    <s v="Bangalore"/>
    <x v="0"/>
    <n v="65000"/>
    <n v="580"/>
    <n v="250000"/>
    <x v="2"/>
    <m/>
    <m/>
  </r>
  <r>
    <s v="LD1224"/>
    <s v="2026-05-03"/>
    <x v="4"/>
    <s v="Bangalore"/>
    <x v="0"/>
    <n v="65000"/>
    <n v="700"/>
    <n v="75000"/>
    <x v="2"/>
    <m/>
    <m/>
  </r>
  <r>
    <s v="LD1048"/>
    <s v="2026-06-01"/>
    <x v="0"/>
    <s v="Bangalore"/>
    <x v="0"/>
    <n v="65000"/>
    <n v="800"/>
    <n v="200000"/>
    <x v="2"/>
    <m/>
    <m/>
  </r>
  <r>
    <s v="LD1105"/>
    <s v="2026-05-08"/>
    <x v="1"/>
    <s v="Bangalore"/>
    <x v="0"/>
    <n v="15000"/>
    <n v="670"/>
    <n v="150000"/>
    <x v="2"/>
    <m/>
    <m/>
  </r>
  <r>
    <s v="LD1045"/>
    <s v="2026-05-20"/>
    <x v="0"/>
    <s v="Bangalore"/>
    <x v="1"/>
    <n v="22000"/>
    <n v="740"/>
    <n v="250000"/>
    <x v="2"/>
    <m/>
    <m/>
  </r>
  <r>
    <s v="LD1080"/>
    <s v="2026-06-04"/>
    <x v="1"/>
    <s v="Bangalore"/>
    <x v="1"/>
    <n v="22000"/>
    <n v="740"/>
    <n v="200000"/>
    <x v="2"/>
    <m/>
    <m/>
  </r>
  <r>
    <s v="LD1154"/>
    <s v="2026-05-07"/>
    <x v="1"/>
    <s v="Bangalore"/>
    <x v="1"/>
    <n v="55000"/>
    <n v="720"/>
    <n v="100000"/>
    <x v="2"/>
    <m/>
    <m/>
  </r>
  <r>
    <s v="LD1286"/>
    <s v="2026-06-16"/>
    <x v="1"/>
    <s v="Bangalore"/>
    <x v="1"/>
    <n v="32000"/>
    <n v="760"/>
    <n v="300000"/>
    <x v="2"/>
    <m/>
    <m/>
  </r>
  <r>
    <s v="LD1181"/>
    <s v="2026-05-02"/>
    <x v="2"/>
    <s v="Chandigarh"/>
    <x v="0"/>
    <n v="55000"/>
    <n v="800"/>
    <n v="100000"/>
    <x v="2"/>
    <m/>
    <m/>
  </r>
  <r>
    <s v="LD1206"/>
    <s v="2026-05-27"/>
    <x v="2"/>
    <s v="Chandigarh"/>
    <x v="0"/>
    <n v="32000"/>
    <n v="700"/>
    <n v="150000"/>
    <x v="2"/>
    <m/>
    <m/>
  </r>
  <r>
    <s v="LD1164"/>
    <s v="2026-06-08"/>
    <x v="0"/>
    <s v="Chandigarh"/>
    <x v="0"/>
    <n v="25000"/>
    <n v="700"/>
    <n v="300000"/>
    <x v="2"/>
    <m/>
    <m/>
  </r>
  <r>
    <s v="LD1030"/>
    <s v="2026-05-07"/>
    <x v="2"/>
    <s v="Chandigarh"/>
    <x v="1"/>
    <n v="25000"/>
    <n v="740"/>
    <n v="75000"/>
    <x v="2"/>
    <m/>
    <m/>
  </r>
  <r>
    <s v="LD1261"/>
    <s v="2026-06-09"/>
    <x v="4"/>
    <s v="Chandigarh"/>
    <x v="1"/>
    <n v="65000"/>
    <n v="650"/>
    <n v="150000"/>
    <x v="2"/>
    <m/>
    <m/>
  </r>
  <r>
    <s v="LD1124"/>
    <s v="2026-05-18"/>
    <x v="3"/>
    <s v="Chandigarh"/>
    <x v="1"/>
    <n v="65000"/>
    <n v="740"/>
    <n v="75000"/>
    <x v="2"/>
    <m/>
    <m/>
  </r>
  <r>
    <s v="LD1136"/>
    <s v="2026-06-13"/>
    <x v="3"/>
    <s v="Chandigarh"/>
    <x v="1"/>
    <n v="65000"/>
    <n v="580"/>
    <n v="300000"/>
    <x v="2"/>
    <m/>
    <m/>
  </r>
  <r>
    <s v="LD1065"/>
    <s v="2026-05-19"/>
    <x v="0"/>
    <s v="Chandigarh"/>
    <x v="1"/>
    <n v="35000"/>
    <n v="760"/>
    <n v="100000"/>
    <x v="2"/>
    <m/>
    <m/>
  </r>
  <r>
    <s v="LD1260"/>
    <s v="2026-05-06"/>
    <x v="0"/>
    <s v="Chandigarh"/>
    <x v="1"/>
    <n v="55000"/>
    <s v="Not Available"/>
    <n v="50000"/>
    <x v="2"/>
    <m/>
    <m/>
  </r>
  <r>
    <s v="LD1018"/>
    <s v="2026-06-11"/>
    <x v="2"/>
    <s v="Delhi"/>
    <x v="0"/>
    <n v="65000"/>
    <n v="760"/>
    <n v="300000"/>
    <x v="2"/>
    <m/>
    <m/>
  </r>
  <r>
    <s v="LD1189"/>
    <s v="2026-05-09"/>
    <x v="2"/>
    <s v="Delhi"/>
    <x v="0"/>
    <n v="25000"/>
    <n v="670"/>
    <n v="300000"/>
    <x v="2"/>
    <m/>
    <m/>
  </r>
  <r>
    <s v="LD1049"/>
    <s v="2026-05-01"/>
    <x v="3"/>
    <s v="Delhi"/>
    <x v="0"/>
    <n v="65000"/>
    <n v="720"/>
    <n v="50000"/>
    <x v="2"/>
    <m/>
    <m/>
  </r>
  <r>
    <s v="LD1166"/>
    <s v="2026-06-07"/>
    <x v="5"/>
    <s v="Delhi"/>
    <x v="0"/>
    <n v="15000"/>
    <n v="700"/>
    <n v="75000"/>
    <x v="2"/>
    <m/>
    <m/>
  </r>
  <r>
    <s v="LD1078"/>
    <s v="2026-06-18"/>
    <x v="2"/>
    <s v="Delhi"/>
    <x v="1"/>
    <n v="40000"/>
    <s v="Not Available"/>
    <n v="100000"/>
    <x v="2"/>
    <m/>
    <m/>
  </r>
  <r>
    <s v="LD1034"/>
    <s v="2026-06-18"/>
    <x v="2"/>
    <s v="Gurgaon"/>
    <x v="0"/>
    <n v="65000"/>
    <n v="760"/>
    <n v="50000"/>
    <x v="2"/>
    <m/>
    <m/>
  </r>
  <r>
    <s v="LD1221"/>
    <s v="2026-06-23"/>
    <x v="3"/>
    <s v="Gurgaon"/>
    <x v="0"/>
    <n v="28000"/>
    <n v="740"/>
    <n v="75000"/>
    <x v="2"/>
    <m/>
    <m/>
  </r>
  <r>
    <s v="LD1173"/>
    <s v="2026-06-16"/>
    <x v="1"/>
    <s v="Gurgaon"/>
    <x v="0"/>
    <n v="65000"/>
    <n v="800"/>
    <n v="200000"/>
    <x v="2"/>
    <m/>
    <m/>
  </r>
  <r>
    <s v="LD1222"/>
    <s v="2026-05-04"/>
    <x v="1"/>
    <s v="Gurgaon"/>
    <x v="0"/>
    <n v="40000"/>
    <n v="700"/>
    <n v="150000"/>
    <x v="2"/>
    <m/>
    <m/>
  </r>
  <r>
    <s v="LD1086"/>
    <s v="2026-06-08"/>
    <x v="5"/>
    <s v="Gurgaon"/>
    <x v="0"/>
    <n v="40000"/>
    <n v="670"/>
    <n v="75000"/>
    <x v="2"/>
    <m/>
    <m/>
  </r>
  <r>
    <s v="LD1006"/>
    <s v="2026-05-17"/>
    <x v="4"/>
    <s v="Gurgaon"/>
    <x v="1"/>
    <n v="18000"/>
    <n v="700"/>
    <n v="200000"/>
    <x v="2"/>
    <m/>
    <m/>
  </r>
  <r>
    <s v="LD1152"/>
    <s v="2026-06-13"/>
    <x v="3"/>
    <s v="Gurgaon"/>
    <x v="1"/>
    <n v="18000"/>
    <n v="610"/>
    <n v="75000"/>
    <x v="2"/>
    <m/>
    <m/>
  </r>
  <r>
    <s v="LD1089"/>
    <s v="2026-06-06"/>
    <x v="0"/>
    <s v="Gurgaon"/>
    <x v="1"/>
    <n v="65000"/>
    <n v="780"/>
    <n v="300000"/>
    <x v="2"/>
    <m/>
    <m/>
  </r>
  <r>
    <s v="LD1139"/>
    <s v="2026-05-21"/>
    <x v="5"/>
    <s v="Gurgaon"/>
    <x v="1"/>
    <n v="22000"/>
    <n v="670"/>
    <n v="50000"/>
    <x v="2"/>
    <m/>
    <m/>
  </r>
  <r>
    <s v="LD1215"/>
    <s v="2026-06-09"/>
    <x v="2"/>
    <s v="Jaipur"/>
    <x v="0"/>
    <n v="22000"/>
    <n v="610"/>
    <n v="300000"/>
    <x v="2"/>
    <m/>
    <m/>
  </r>
  <r>
    <s v="LD1150"/>
    <s v="2026-06-03"/>
    <x v="3"/>
    <s v="Jaipur"/>
    <x v="0"/>
    <n v="25000"/>
    <n v="610"/>
    <n v="100000"/>
    <x v="2"/>
    <m/>
    <m/>
  </r>
  <r>
    <s v="LD1036"/>
    <s v="2026-05-30"/>
    <x v="0"/>
    <s v="Jaipur"/>
    <x v="0"/>
    <n v="35000"/>
    <n v="670"/>
    <n v="300000"/>
    <x v="2"/>
    <m/>
    <m/>
  </r>
  <r>
    <s v="LD1191"/>
    <s v="2026-05-23"/>
    <x v="0"/>
    <s v="Jaipur"/>
    <x v="0"/>
    <n v="45000"/>
    <n v="760"/>
    <n v="300000"/>
    <x v="2"/>
    <m/>
    <m/>
  </r>
  <r>
    <s v="LD1137"/>
    <s v="2026-06-09"/>
    <x v="2"/>
    <s v="Jaipur"/>
    <x v="1"/>
    <n v="65000"/>
    <n v="740"/>
    <n v="50000"/>
    <x v="2"/>
    <m/>
    <m/>
  </r>
  <r>
    <s v="LD1121"/>
    <s v="2026-06-18"/>
    <x v="3"/>
    <s v="Jaipur"/>
    <x v="1"/>
    <n v="28000"/>
    <n v="800"/>
    <n v="300000"/>
    <x v="2"/>
    <m/>
    <m/>
  </r>
  <r>
    <s v="LD1219"/>
    <s v="2026-05-17"/>
    <x v="3"/>
    <s v="Jaipur"/>
    <x v="1"/>
    <n v="22000"/>
    <n v="650"/>
    <n v="75000"/>
    <x v="2"/>
    <m/>
    <m/>
  </r>
  <r>
    <s v="LD1267"/>
    <s v="2026-06-16"/>
    <x v="3"/>
    <s v="Jaipur"/>
    <x v="1"/>
    <n v="25000"/>
    <n v="610"/>
    <n v="200000"/>
    <x v="2"/>
    <m/>
    <m/>
  </r>
  <r>
    <s v="LD1227"/>
    <s v="2026-06-08"/>
    <x v="0"/>
    <s v="Jaipur"/>
    <x v="1"/>
    <n v="18000"/>
    <n v="580"/>
    <n v="150000"/>
    <x v="2"/>
    <m/>
    <m/>
  </r>
  <r>
    <s v="LD1071"/>
    <s v="2026-05-30"/>
    <x v="2"/>
    <s v="Lucknow"/>
    <x v="0"/>
    <n v="45000"/>
    <n v="650"/>
    <n v="50000"/>
    <x v="2"/>
    <m/>
    <m/>
  </r>
  <r>
    <s v="LD1202"/>
    <s v="2026-06-11"/>
    <x v="1"/>
    <s v="Lucknow"/>
    <x v="0"/>
    <n v="15000"/>
    <n v="700"/>
    <n v="50000"/>
    <x v="2"/>
    <m/>
    <m/>
  </r>
  <r>
    <s v="LD1077"/>
    <s v="2026-06-19"/>
    <x v="2"/>
    <s v="Lucknow"/>
    <x v="1"/>
    <n v="15000"/>
    <n v="650"/>
    <n v="150000"/>
    <x v="2"/>
    <m/>
    <m/>
  </r>
  <r>
    <s v="LD1270"/>
    <s v="2026-05-09"/>
    <x v="2"/>
    <s v="Lucknow"/>
    <x v="1"/>
    <n v="45000"/>
    <s v="Not Available"/>
    <n v="150000"/>
    <x v="2"/>
    <m/>
    <m/>
  </r>
  <r>
    <s v="LD1072"/>
    <s v="2026-05-28"/>
    <x v="0"/>
    <s v="Lucknow"/>
    <x v="1"/>
    <n v="40000"/>
    <n v="780"/>
    <n v="200000"/>
    <x v="2"/>
    <m/>
    <m/>
  </r>
  <r>
    <s v="LD1238"/>
    <s v="2026-05-28"/>
    <x v="5"/>
    <s v="Lucknow"/>
    <x v="1"/>
    <n v="45000"/>
    <n v="670"/>
    <n v="250000"/>
    <x v="2"/>
    <m/>
    <m/>
  </r>
  <r>
    <s v="LD1156"/>
    <s v="2026-06-11"/>
    <x v="2"/>
    <s v="Mumbai"/>
    <x v="0"/>
    <n v="65000"/>
    <n v="740"/>
    <n v="100000"/>
    <x v="2"/>
    <m/>
    <m/>
  </r>
  <r>
    <s v="LD1023"/>
    <s v="2026-06-16"/>
    <x v="3"/>
    <s v="Mumbai"/>
    <x v="0"/>
    <n v="25000"/>
    <n v="780"/>
    <n v="50000"/>
    <x v="2"/>
    <m/>
    <m/>
  </r>
  <r>
    <s v="LD1012"/>
    <s v="2026-05-21"/>
    <x v="2"/>
    <s v="Mumbai"/>
    <x v="1"/>
    <n v="15000"/>
    <n v="650"/>
    <n v="300000"/>
    <x v="2"/>
    <m/>
    <m/>
  </r>
  <r>
    <s v="LD1062"/>
    <s v="2026-06-09"/>
    <x v="2"/>
    <s v="Mumbai"/>
    <x v="1"/>
    <n v="35000"/>
    <n v="580"/>
    <n v="100000"/>
    <x v="2"/>
    <m/>
    <m/>
  </r>
  <r>
    <s v="LD1197"/>
    <s v="2026-05-07"/>
    <x v="2"/>
    <s v="Mumbai"/>
    <x v="1"/>
    <n v="32000"/>
    <n v="800"/>
    <n v="75000"/>
    <x v="2"/>
    <m/>
    <m/>
  </r>
  <r>
    <s v="LD1075"/>
    <s v="2026-05-09"/>
    <x v="3"/>
    <s v="Mumbai"/>
    <x v="1"/>
    <n v="32000"/>
    <n v="700"/>
    <n v="50000"/>
    <x v="2"/>
    <m/>
    <m/>
  </r>
  <r>
    <s v="LD1004"/>
    <s v="2026-06-18"/>
    <x v="1"/>
    <s v="Mumbai"/>
    <x v="1"/>
    <n v="55000"/>
    <n v="670"/>
    <n v="50000"/>
    <x v="2"/>
    <m/>
    <m/>
  </r>
  <r>
    <s v="LD1155"/>
    <s v="2026-05-21"/>
    <x v="5"/>
    <s v="Mumbai"/>
    <x v="1"/>
    <n v="15000"/>
    <n v="780"/>
    <n v="200000"/>
    <x v="2"/>
    <m/>
    <m/>
  </r>
  <r>
    <s v="LD1039"/>
    <s v="2026-06-08"/>
    <x v="2"/>
    <s v="Noida"/>
    <x v="0"/>
    <n v="45000"/>
    <n v="580"/>
    <n v="50000"/>
    <x v="2"/>
    <m/>
    <m/>
  </r>
  <r>
    <s v="LD1054"/>
    <s v="2026-05-12"/>
    <x v="2"/>
    <s v="Noida"/>
    <x v="0"/>
    <n v="22000"/>
    <n v="610"/>
    <n v="50000"/>
    <x v="2"/>
    <m/>
    <m/>
  </r>
  <r>
    <s v="LD1064"/>
    <s v="2026-06-17"/>
    <x v="2"/>
    <s v="Noida"/>
    <x v="0"/>
    <n v="35000"/>
    <n v="800"/>
    <n v="250000"/>
    <x v="2"/>
    <m/>
    <m/>
  </r>
  <r>
    <s v="LD1249"/>
    <s v="2026-05-06"/>
    <x v="4"/>
    <s v="Noida"/>
    <x v="0"/>
    <n v="40000"/>
    <n v="610"/>
    <n v="150000"/>
    <x v="2"/>
    <m/>
    <m/>
  </r>
  <r>
    <s v="LD1114"/>
    <s v="2026-06-17"/>
    <x v="3"/>
    <s v="Noida"/>
    <x v="0"/>
    <n v="15000"/>
    <n v="610"/>
    <n v="200000"/>
    <x v="2"/>
    <m/>
    <m/>
  </r>
  <r>
    <s v="LD1213"/>
    <s v="2026-06-02"/>
    <x v="0"/>
    <s v="Noida"/>
    <x v="0"/>
    <n v="18000"/>
    <n v="670"/>
    <n v="50000"/>
    <x v="2"/>
    <m/>
    <m/>
  </r>
  <r>
    <s v="LD1199"/>
    <s v="2026-06-13"/>
    <x v="4"/>
    <s v="Noida"/>
    <x v="1"/>
    <n v="40000"/>
    <n v="780"/>
    <n v="150000"/>
    <x v="2"/>
    <m/>
    <m/>
  </r>
  <r>
    <s v="LD1095"/>
    <s v="2026-05-18"/>
    <x v="3"/>
    <s v="Noida"/>
    <x v="1"/>
    <n v="25000"/>
    <n v="700"/>
    <n v="100000"/>
    <x v="2"/>
    <m/>
    <m/>
  </r>
  <r>
    <s v="LD1016"/>
    <s v="2026-06-10"/>
    <x v="0"/>
    <s v="Noida"/>
    <x v="1"/>
    <n v="18000"/>
    <s v="Not Available"/>
    <n v="75000"/>
    <x v="2"/>
    <m/>
    <m/>
  </r>
  <r>
    <s v="LD1033"/>
    <s v="2026-05-29"/>
    <x v="1"/>
    <s v="Noida"/>
    <x v="1"/>
    <n v="40000"/>
    <n v="650"/>
    <n v="50000"/>
    <x v="2"/>
    <m/>
    <m/>
  </r>
  <r>
    <s v="LD1247"/>
    <s v="2026-05-17"/>
    <x v="5"/>
    <s v="Noida"/>
    <x v="1"/>
    <n v="45000"/>
    <n v="720"/>
    <n v="50000"/>
    <x v="2"/>
    <m/>
    <m/>
  </r>
  <r>
    <s v="LD1148"/>
    <s v="2026-05-03"/>
    <x v="2"/>
    <s v="Pune"/>
    <x v="0"/>
    <n v="65000"/>
    <n v="580"/>
    <n v="250000"/>
    <x v="2"/>
    <m/>
    <m/>
  </r>
  <r>
    <s v="LD1212"/>
    <s v="2026-05-13"/>
    <x v="3"/>
    <s v="Pune"/>
    <x v="0"/>
    <n v="25000"/>
    <n v="700"/>
    <n v="150000"/>
    <x v="2"/>
    <m/>
    <m/>
  </r>
  <r>
    <s v="LD1013"/>
    <s v="2026-05-14"/>
    <x v="1"/>
    <s v="Pune"/>
    <x v="0"/>
    <n v="25000"/>
    <n v="780"/>
    <n v="100000"/>
    <x v="2"/>
    <m/>
    <m/>
  </r>
  <r>
    <s v="LD1109"/>
    <s v="2026-06-10"/>
    <x v="1"/>
    <s v="Pune"/>
    <x v="0"/>
    <n v="55000"/>
    <n v="580"/>
    <n v="75000"/>
    <x v="2"/>
    <m/>
    <m/>
  </r>
  <r>
    <s v="LD1230"/>
    <s v="2026-05-24"/>
    <x v="4"/>
    <s v="Ahmedabad"/>
    <x v="0"/>
    <n v="35000"/>
    <n v="740"/>
    <n v="150000"/>
    <x v="3"/>
    <m/>
    <m/>
  </r>
  <r>
    <s v="LD1002"/>
    <s v="2026-05-14"/>
    <x v="5"/>
    <s v="Ahmedabad"/>
    <x v="0"/>
    <n v="55000"/>
    <n v="720"/>
    <n v="50000"/>
    <x v="3"/>
    <m/>
    <m/>
  </r>
  <r>
    <s v="LD1051"/>
    <s v="2026-06-07"/>
    <x v="4"/>
    <s v="Gurgaon"/>
    <x v="0"/>
    <n v="22000"/>
    <n v="760"/>
    <n v="100000"/>
    <x v="3"/>
    <m/>
    <m/>
  </r>
  <r>
    <s v="LD1153"/>
    <s v="2026-05-08"/>
    <x v="5"/>
    <s v="Jaipur"/>
    <x v="1"/>
    <n v="18000"/>
    <n v="720"/>
    <n v="200000"/>
    <x v="3"/>
    <m/>
    <m/>
  </r>
  <r>
    <s v="LD1295"/>
    <s v="2026-06-08"/>
    <x v="1"/>
    <s v="Lucknow"/>
    <x v="0"/>
    <n v="28000"/>
    <s v="Not Available"/>
    <n v="200000"/>
    <x v="3"/>
    <m/>
    <m/>
  </r>
  <r>
    <s v="LD1234"/>
    <s v="2026-05-03"/>
    <x v="5"/>
    <s v="Lucknow"/>
    <x v="0"/>
    <n v="28000"/>
    <n v="650"/>
    <n v="75000"/>
    <x v="3"/>
    <m/>
    <m/>
  </r>
  <r>
    <s v="LD1027"/>
    <s v="2026-05-15"/>
    <x v="4"/>
    <s v="Mumbai"/>
    <x v="0"/>
    <n v="18000"/>
    <n v="700"/>
    <n v="200000"/>
    <x v="3"/>
    <m/>
    <m/>
  </r>
  <r>
    <s v="LD1132"/>
    <s v="2026-05-31"/>
    <x v="5"/>
    <s v="Mumbai"/>
    <x v="1"/>
    <n v="25000"/>
    <n v="720"/>
    <n v="250000"/>
    <x v="3"/>
    <m/>
    <m/>
  </r>
  <r>
    <s v="LD1300"/>
    <s v="2026-05-16"/>
    <x v="0"/>
    <s v="Noida"/>
    <x v="1"/>
    <n v="32000"/>
    <n v="650"/>
    <n v="150000"/>
    <x v="3"/>
    <m/>
    <m/>
  </r>
  <r>
    <s v="LD1068"/>
    <s v="2026-05-31"/>
    <x v="0"/>
    <s v="Pune"/>
    <x v="0"/>
    <n v="25000"/>
    <n v="610"/>
    <n v="75000"/>
    <x v="3"/>
    <m/>
    <m/>
  </r>
  <r>
    <s v="LD1182"/>
    <s v="2026-05-10"/>
    <x v="0"/>
    <s v="Pune"/>
    <x v="1"/>
    <n v="32000"/>
    <n v="700"/>
    <n v="300000"/>
    <x v="3"/>
    <m/>
    <m/>
  </r>
  <r>
    <s v="LD1046"/>
    <s v="2026-05-07"/>
    <x v="2"/>
    <s v="Ahmedabad"/>
    <x v="0"/>
    <n v="65000"/>
    <n v="760"/>
    <n v="250000"/>
    <x v="4"/>
    <m/>
    <m/>
  </r>
  <r>
    <s v="LD1099"/>
    <s v="2026-06-05"/>
    <x v="2"/>
    <s v="Bangalore"/>
    <x v="1"/>
    <n v="45000"/>
    <n v="760"/>
    <n v="250000"/>
    <x v="4"/>
    <m/>
    <m/>
  </r>
  <r>
    <s v="LD1161"/>
    <s v="2026-06-22"/>
    <x v="4"/>
    <s v="Bangalore"/>
    <x v="1"/>
    <n v="15000"/>
    <n v="720"/>
    <n v="50000"/>
    <x v="4"/>
    <m/>
    <m/>
  </r>
  <r>
    <s v="LD1100"/>
    <s v="2026-06-16"/>
    <x v="3"/>
    <s v="Bangalore"/>
    <x v="1"/>
    <n v="28000"/>
    <n v="670"/>
    <n v="50000"/>
    <x v="4"/>
    <m/>
    <m/>
  </r>
  <r>
    <s v="LD1055"/>
    <s v="2026-06-14"/>
    <x v="5"/>
    <s v="Bangalore"/>
    <x v="1"/>
    <n v="65000"/>
    <n v="650"/>
    <n v="300000"/>
    <x v="4"/>
    <m/>
    <m/>
  </r>
  <r>
    <s v="LD1172"/>
    <s v="2026-06-08"/>
    <x v="5"/>
    <s v="Bangalore"/>
    <x v="1"/>
    <n v="55000"/>
    <n v="760"/>
    <n v="200000"/>
    <x v="4"/>
    <m/>
    <m/>
  </r>
  <r>
    <s v="LD1207"/>
    <s v="2026-05-07"/>
    <x v="3"/>
    <s v="Chandigarh"/>
    <x v="0"/>
    <n v="65000"/>
    <n v="800"/>
    <n v="100000"/>
    <x v="4"/>
    <m/>
    <m/>
  </r>
  <r>
    <s v="LD1102"/>
    <s v="2026-05-12"/>
    <x v="3"/>
    <s v="Chandigarh"/>
    <x v="1"/>
    <n v="18000"/>
    <n v="650"/>
    <n v="100000"/>
    <x v="4"/>
    <m/>
    <m/>
  </r>
  <r>
    <s v="LD1188"/>
    <s v="2026-05-26"/>
    <x v="5"/>
    <s v="Chandigarh"/>
    <x v="1"/>
    <n v="45000"/>
    <n v="800"/>
    <n v="75000"/>
    <x v="4"/>
    <m/>
    <m/>
  </r>
  <r>
    <s v="LD1280"/>
    <s v="2026-06-14"/>
    <x v="5"/>
    <s v="Chandigarh"/>
    <x v="1"/>
    <n v="22000"/>
    <n v="800"/>
    <n v="200000"/>
    <x v="4"/>
    <m/>
    <m/>
  </r>
  <r>
    <s v="LD1122"/>
    <s v="2026-06-19"/>
    <x v="2"/>
    <s v="Delhi"/>
    <x v="1"/>
    <n v="18000"/>
    <n v="700"/>
    <n v="50000"/>
    <x v="4"/>
    <m/>
    <m/>
  </r>
  <r>
    <s v="LD1231"/>
    <s v="2026-06-10"/>
    <x v="3"/>
    <s v="Delhi"/>
    <x v="1"/>
    <n v="18000"/>
    <n v="700"/>
    <n v="250000"/>
    <x v="4"/>
    <m/>
    <m/>
  </r>
  <r>
    <s v="LD1262"/>
    <s v="2026-05-31"/>
    <x v="5"/>
    <s v="Delhi"/>
    <x v="1"/>
    <n v="65000"/>
    <n v="760"/>
    <n v="100000"/>
    <x v="4"/>
    <m/>
    <m/>
  </r>
  <r>
    <s v="LD1157"/>
    <s v="2026-05-08"/>
    <x v="1"/>
    <s v="Gurgaon"/>
    <x v="0"/>
    <n v="15000"/>
    <s v="Not Available"/>
    <n v="150000"/>
    <x v="4"/>
    <m/>
    <m/>
  </r>
  <r>
    <s v="LD1239"/>
    <s v="2026-05-21"/>
    <x v="4"/>
    <s v="Jaipur"/>
    <x v="0"/>
    <n v="45000"/>
    <n v="670"/>
    <n v="50000"/>
    <x v="4"/>
    <m/>
    <m/>
  </r>
  <r>
    <s v="LD1079"/>
    <s v="2026-05-02"/>
    <x v="1"/>
    <s v="Jaipur"/>
    <x v="0"/>
    <n v="40000"/>
    <n v="650"/>
    <n v="150000"/>
    <x v="4"/>
    <m/>
    <m/>
  </r>
  <r>
    <s v="LD1178"/>
    <s v="2026-06-06"/>
    <x v="5"/>
    <s v="Jaipur"/>
    <x v="0"/>
    <n v="28000"/>
    <n v="780"/>
    <n v="50000"/>
    <x v="4"/>
    <m/>
    <m/>
  </r>
  <r>
    <s v="LD1193"/>
    <s v="2026-05-02"/>
    <x v="2"/>
    <s v="Jaipur"/>
    <x v="1"/>
    <n v="65000"/>
    <n v="720"/>
    <n v="150000"/>
    <x v="4"/>
    <m/>
    <m/>
  </r>
  <r>
    <s v="LD1111"/>
    <s v="2026-05-19"/>
    <x v="4"/>
    <s v="Jaipur"/>
    <x v="1"/>
    <n v="55000"/>
    <n v="740"/>
    <n v="75000"/>
    <x v="4"/>
    <m/>
    <m/>
  </r>
  <r>
    <s v="LD1037"/>
    <s v="2026-06-07"/>
    <x v="3"/>
    <s v="Jaipur"/>
    <x v="1"/>
    <n v="22000"/>
    <n v="650"/>
    <n v="50000"/>
    <x v="4"/>
    <m/>
    <m/>
  </r>
  <r>
    <s v="LD1237"/>
    <s v="2026-06-01"/>
    <x v="3"/>
    <s v="Jaipur"/>
    <x v="1"/>
    <n v="40000"/>
    <n v="720"/>
    <n v="75000"/>
    <x v="4"/>
    <m/>
    <m/>
  </r>
  <r>
    <s v="LD1174"/>
    <s v="2026-05-26"/>
    <x v="0"/>
    <s v="Jaipur"/>
    <x v="1"/>
    <n v="25000"/>
    <n v="720"/>
    <n v="150000"/>
    <x v="4"/>
    <m/>
    <m/>
  </r>
  <r>
    <s v="LD1073"/>
    <s v="2026-06-23"/>
    <x v="2"/>
    <s v="Lucknow"/>
    <x v="0"/>
    <n v="40000"/>
    <n v="740"/>
    <n v="75000"/>
    <x v="4"/>
    <m/>
    <m/>
  </r>
  <r>
    <s v="LD1217"/>
    <s v="2026-06-20"/>
    <x v="3"/>
    <s v="Lucknow"/>
    <x v="0"/>
    <n v="45000"/>
    <n v="650"/>
    <n v="300000"/>
    <x v="4"/>
    <m/>
    <m/>
  </r>
  <r>
    <s v="LD1289"/>
    <s v="2026-06-14"/>
    <x v="3"/>
    <s v="Lucknow"/>
    <x v="0"/>
    <n v="25000"/>
    <n v="760"/>
    <n v="200000"/>
    <x v="4"/>
    <m/>
    <m/>
  </r>
  <r>
    <s v="LD1266"/>
    <s v="2026-05-04"/>
    <x v="0"/>
    <s v="Lucknow"/>
    <x v="0"/>
    <n v="28000"/>
    <n v="740"/>
    <n v="50000"/>
    <x v="4"/>
    <m/>
    <m/>
  </r>
  <r>
    <s v="LD1093"/>
    <s v="2026-05-16"/>
    <x v="2"/>
    <s v="Lucknow"/>
    <x v="1"/>
    <n v="35000"/>
    <n v="780"/>
    <n v="300000"/>
    <x v="4"/>
    <m/>
    <m/>
  </r>
  <r>
    <s v="LD1120"/>
    <s v="2026-05-11"/>
    <x v="4"/>
    <s v="Lucknow"/>
    <x v="1"/>
    <n v="35000"/>
    <n v="700"/>
    <n v="50000"/>
    <x v="4"/>
    <m/>
    <m/>
  </r>
  <r>
    <s v="LD1255"/>
    <s v="2026-06-19"/>
    <x v="4"/>
    <s v="Lucknow"/>
    <x v="1"/>
    <n v="65000"/>
    <n v="760"/>
    <n v="300000"/>
    <x v="4"/>
    <m/>
    <m/>
  </r>
  <r>
    <s v="LD1011"/>
    <s v="2026-06-14"/>
    <x v="2"/>
    <s v="Mumbai"/>
    <x v="0"/>
    <n v="40000"/>
    <n v="720"/>
    <n v="250000"/>
    <x v="4"/>
    <m/>
    <m/>
  </r>
  <r>
    <s v="LD1184"/>
    <s v="2026-05-20"/>
    <x v="2"/>
    <s v="Mumbai"/>
    <x v="1"/>
    <n v="35000"/>
    <n v="740"/>
    <n v="100000"/>
    <x v="4"/>
    <m/>
    <m/>
  </r>
  <r>
    <s v="LD1040"/>
    <s v="2026-05-03"/>
    <x v="4"/>
    <s v="Mumbai"/>
    <x v="1"/>
    <n v="18000"/>
    <n v="780"/>
    <n v="200000"/>
    <x v="4"/>
    <m/>
    <m/>
  </r>
  <r>
    <s v="LD1142"/>
    <s v="2026-05-17"/>
    <x v="5"/>
    <s v="Mumbai"/>
    <x v="1"/>
    <n v="55000"/>
    <n v="610"/>
    <n v="250000"/>
    <x v="4"/>
    <m/>
    <m/>
  </r>
  <r>
    <s v="LD1129"/>
    <s v="2026-06-02"/>
    <x v="2"/>
    <s v="Noida"/>
    <x v="0"/>
    <n v="28000"/>
    <n v="720"/>
    <n v="300000"/>
    <x v="4"/>
    <m/>
    <m/>
  </r>
  <r>
    <s v="LD1290"/>
    <s v="2026-06-12"/>
    <x v="3"/>
    <s v="Noida"/>
    <x v="0"/>
    <n v="55000"/>
    <n v="780"/>
    <n v="50000"/>
    <x v="4"/>
    <m/>
    <m/>
  </r>
  <r>
    <s v="LD1052"/>
    <s v="2026-05-03"/>
    <x v="2"/>
    <s v="Noida"/>
    <x v="1"/>
    <n v="22000"/>
    <s v="Not Available"/>
    <n v="300000"/>
    <x v="4"/>
    <m/>
    <m/>
  </r>
  <r>
    <s v="LD1226"/>
    <s v="2026-05-04"/>
    <x v="0"/>
    <s v="Noida"/>
    <x v="1"/>
    <n v="18000"/>
    <n v="670"/>
    <n v="50000"/>
    <x v="4"/>
    <m/>
    <m/>
  </r>
  <r>
    <s v="LD1165"/>
    <s v="2026-05-08"/>
    <x v="4"/>
    <s v="Pune"/>
    <x v="0"/>
    <n v="22000"/>
    <n v="760"/>
    <n v="75000"/>
    <x v="4"/>
    <m/>
    <m/>
  </r>
  <r>
    <s v="LD1146"/>
    <s v="2026-06-13"/>
    <x v="3"/>
    <s v="Pune"/>
    <x v="0"/>
    <n v="65000"/>
    <n v="720"/>
    <n v="200000"/>
    <x v="4"/>
    <m/>
    <m/>
  </r>
  <r>
    <s v="LD1288"/>
    <s v="2026-06-11"/>
    <x v="0"/>
    <s v="Pune"/>
    <x v="0"/>
    <n v="28000"/>
    <n v="580"/>
    <n v="150000"/>
    <x v="4"/>
    <m/>
    <m/>
  </r>
  <r>
    <s v="LD1187"/>
    <s v="2026-05-19"/>
    <x v="1"/>
    <s v="Pune"/>
    <x v="0"/>
    <n v="45000"/>
    <n v="580"/>
    <n v="50000"/>
    <x v="4"/>
    <m/>
    <m/>
  </r>
  <r>
    <s v="LD1235"/>
    <s v="2026-06-11"/>
    <x v="3"/>
    <s v="Pune"/>
    <x v="1"/>
    <n v="45000"/>
    <n v="740"/>
    <n v="300000"/>
    <x v="4"/>
    <m/>
    <m/>
  </r>
  <r>
    <s v="LD1236"/>
    <s v="2026-06-21"/>
    <x v="0"/>
    <s v="Pune"/>
    <x v="1"/>
    <n v="15000"/>
    <n v="800"/>
    <n v="50000"/>
    <x v="4"/>
    <m/>
    <m/>
  </r>
  <r>
    <s v="LD1074"/>
    <s v="2026-06-15"/>
    <x v="5"/>
    <s v="Pune"/>
    <x v="1"/>
    <n v="65000"/>
    <n v="650"/>
    <n v="50000"/>
    <x v="4"/>
    <m/>
    <m/>
  </r>
  <r>
    <s v="LD1112"/>
    <s v="2026-06-20"/>
    <x v="5"/>
    <s v="Pune"/>
    <x v="1"/>
    <n v="18000"/>
    <n v="800"/>
    <n v="100000"/>
    <x v="4"/>
    <m/>
    <m/>
  </r>
  <r>
    <s v="LD1044"/>
    <s v="2026-05-05"/>
    <x v="4"/>
    <s v="Ahmedabad"/>
    <x v="0"/>
    <n v="45000"/>
    <n v="670"/>
    <n v="100000"/>
    <x v="5"/>
    <m/>
    <m/>
  </r>
  <r>
    <s v="LD1257"/>
    <s v="2026-05-15"/>
    <x v="4"/>
    <s v="Ahmedabad"/>
    <x v="0"/>
    <n v="28000"/>
    <n v="610"/>
    <n v="250000"/>
    <x v="5"/>
    <m/>
    <m/>
  </r>
  <r>
    <s v="LD1038"/>
    <s v="2026-06-02"/>
    <x v="5"/>
    <s v="Ahmedabad"/>
    <x v="0"/>
    <n v="32000"/>
    <s v="Not Available"/>
    <n v="150000"/>
    <x v="5"/>
    <m/>
    <m/>
  </r>
  <r>
    <s v="LD1258"/>
    <s v="2026-05-18"/>
    <x v="3"/>
    <s v="Ahmedabad"/>
    <x v="1"/>
    <n v="18000"/>
    <n v="670"/>
    <n v="200000"/>
    <x v="5"/>
    <m/>
    <m/>
  </r>
  <r>
    <s v="LD1134"/>
    <s v="2026-05-01"/>
    <x v="0"/>
    <s v="Ahmedabad"/>
    <x v="1"/>
    <n v="18000"/>
    <n v="740"/>
    <n v="150000"/>
    <x v="5"/>
    <m/>
    <m/>
  </r>
  <r>
    <s v="LD1254"/>
    <s v="2026-06-11"/>
    <x v="1"/>
    <s v="Ahmedabad"/>
    <x v="1"/>
    <n v="35000"/>
    <n v="780"/>
    <n v="100000"/>
    <x v="5"/>
    <m/>
    <m/>
  </r>
  <r>
    <s v="LD1180"/>
    <s v="2026-06-05"/>
    <x v="2"/>
    <s v="Bangalore"/>
    <x v="0"/>
    <n v="28000"/>
    <n v="780"/>
    <n v="150000"/>
    <x v="5"/>
    <m/>
    <m/>
  </r>
  <r>
    <s v="LD1101"/>
    <s v="2026-05-31"/>
    <x v="0"/>
    <s v="Bangalore"/>
    <x v="0"/>
    <n v="45000"/>
    <n v="610"/>
    <n v="250000"/>
    <x v="5"/>
    <m/>
    <m/>
  </r>
  <r>
    <s v="LD1032"/>
    <s v="2026-05-09"/>
    <x v="5"/>
    <s v="Bangalore"/>
    <x v="0"/>
    <n v="25000"/>
    <n v="650"/>
    <n v="150000"/>
    <x v="5"/>
    <m/>
    <m/>
  </r>
  <r>
    <s v="LD1042"/>
    <s v="2026-05-20"/>
    <x v="5"/>
    <s v="Bangalore"/>
    <x v="0"/>
    <n v="28000"/>
    <n v="720"/>
    <n v="250000"/>
    <x v="5"/>
    <m/>
    <m/>
  </r>
  <r>
    <s v="LD1185"/>
    <s v="2026-05-04"/>
    <x v="5"/>
    <s v="Bangalore"/>
    <x v="0"/>
    <n v="15000"/>
    <n v="610"/>
    <n v="200000"/>
    <x v="5"/>
    <m/>
    <m/>
  </r>
  <r>
    <s v="LD1284"/>
    <s v="2026-05-18"/>
    <x v="2"/>
    <s v="Bangalore"/>
    <x v="1"/>
    <n v="55000"/>
    <n v="740"/>
    <n v="75000"/>
    <x v="5"/>
    <m/>
    <m/>
  </r>
  <r>
    <s v="LD1090"/>
    <s v="2026-05-22"/>
    <x v="4"/>
    <s v="Bangalore"/>
    <x v="1"/>
    <n v="65000"/>
    <n v="700"/>
    <n v="250000"/>
    <x v="5"/>
    <m/>
    <m/>
  </r>
  <r>
    <s v="LD1200"/>
    <s v="2026-05-31"/>
    <x v="2"/>
    <s v="Chandigarh"/>
    <x v="1"/>
    <n v="65000"/>
    <n v="700"/>
    <n v="50000"/>
    <x v="5"/>
    <m/>
    <m/>
  </r>
  <r>
    <s v="LD1117"/>
    <s v="2026-06-23"/>
    <x v="3"/>
    <s v="Chandigarh"/>
    <x v="1"/>
    <n v="15000"/>
    <n v="580"/>
    <n v="250000"/>
    <x v="5"/>
    <m/>
    <m/>
  </r>
  <r>
    <s v="LD1107"/>
    <s v="2026-05-27"/>
    <x v="0"/>
    <s v="Chandigarh"/>
    <x v="1"/>
    <n v="18000"/>
    <n v="650"/>
    <n v="300000"/>
    <x v="5"/>
    <m/>
    <m/>
  </r>
  <r>
    <s v="LD1167"/>
    <s v="2026-06-03"/>
    <x v="3"/>
    <s v="Delhi"/>
    <x v="0"/>
    <n v="28000"/>
    <s v="Not Available"/>
    <n v="150000"/>
    <x v="5"/>
    <m/>
    <m/>
  </r>
  <r>
    <s v="LD1022"/>
    <s v="2026-06-23"/>
    <x v="2"/>
    <s v="Delhi"/>
    <x v="1"/>
    <n v="40000"/>
    <s v="Not Available"/>
    <n v="100000"/>
    <x v="5"/>
    <m/>
    <m/>
  </r>
  <r>
    <s v="LD1082"/>
    <s v="2026-05-22"/>
    <x v="0"/>
    <s v="Delhi"/>
    <x v="1"/>
    <n v="35000"/>
    <n v="700"/>
    <n v="100000"/>
    <x v="5"/>
    <m/>
    <m/>
  </r>
  <r>
    <s v="LD1001"/>
    <s v="2026-05-07"/>
    <x v="5"/>
    <s v="Gurgaon"/>
    <x v="0"/>
    <n v="28000"/>
    <n v="650"/>
    <n v="250000"/>
    <x v="5"/>
    <m/>
    <m/>
  </r>
  <r>
    <s v="LD1159"/>
    <s v="2026-06-09"/>
    <x v="2"/>
    <s v="Jaipur"/>
    <x v="0"/>
    <n v="35000"/>
    <n v="800"/>
    <n v="150000"/>
    <x v="5"/>
    <m/>
    <m/>
  </r>
  <r>
    <s v="LD1056"/>
    <s v="2026-05-23"/>
    <x v="4"/>
    <s v="Jaipur"/>
    <x v="0"/>
    <n v="40000"/>
    <n v="650"/>
    <n v="150000"/>
    <x v="5"/>
    <m/>
    <m/>
  </r>
  <r>
    <s v="LD1170"/>
    <s v="2026-05-21"/>
    <x v="1"/>
    <s v="Jaipur"/>
    <x v="0"/>
    <n v="40000"/>
    <n v="740"/>
    <n v="50000"/>
    <x v="5"/>
    <m/>
    <m/>
  </r>
  <r>
    <s v="LD1005"/>
    <s v="2026-05-22"/>
    <x v="0"/>
    <s v="Jaipur"/>
    <x v="1"/>
    <n v="28000"/>
    <n v="610"/>
    <n v="300000"/>
    <x v="5"/>
    <m/>
    <m/>
  </r>
  <r>
    <s v="LD1299"/>
    <s v="2026-05-07"/>
    <x v="5"/>
    <s v="Jaipur"/>
    <x v="1"/>
    <n v="45000"/>
    <n v="700"/>
    <n v="250000"/>
    <x v="5"/>
    <m/>
    <m/>
  </r>
  <r>
    <s v="LD1128"/>
    <s v="2026-06-08"/>
    <x v="1"/>
    <s v="Lucknow"/>
    <x v="0"/>
    <n v="40000"/>
    <n v="760"/>
    <n v="75000"/>
    <x v="5"/>
    <m/>
    <m/>
  </r>
  <r>
    <s v="LD1014"/>
    <s v="2026-05-16"/>
    <x v="5"/>
    <s v="Lucknow"/>
    <x v="1"/>
    <n v="65000"/>
    <n v="740"/>
    <n v="75000"/>
    <x v="5"/>
    <m/>
    <m/>
  </r>
  <r>
    <s v="LD1028"/>
    <s v="2026-05-03"/>
    <x v="2"/>
    <s v="Mumbai"/>
    <x v="0"/>
    <n v="18000"/>
    <n v="800"/>
    <n v="50000"/>
    <x v="5"/>
    <m/>
    <m/>
  </r>
  <r>
    <s v="LD1179"/>
    <s v="2026-05-23"/>
    <x v="2"/>
    <s v="Mumbai"/>
    <x v="0"/>
    <n v="65000"/>
    <n v="740"/>
    <n v="50000"/>
    <x v="5"/>
    <m/>
    <m/>
  </r>
  <r>
    <s v="LD1085"/>
    <s v="2026-05-31"/>
    <x v="4"/>
    <s v="Mumbai"/>
    <x v="0"/>
    <n v="15000"/>
    <n v="780"/>
    <n v="75000"/>
    <x v="5"/>
    <m/>
    <m/>
  </r>
  <r>
    <s v="LD1057"/>
    <s v="2026-05-18"/>
    <x v="3"/>
    <s v="Mumbai"/>
    <x v="0"/>
    <n v="15000"/>
    <n v="800"/>
    <n v="100000"/>
    <x v="5"/>
    <m/>
    <m/>
  </r>
  <r>
    <s v="LD1163"/>
    <s v="2026-06-05"/>
    <x v="3"/>
    <s v="Mumbai"/>
    <x v="0"/>
    <n v="55000"/>
    <n v="650"/>
    <n v="300000"/>
    <x v="5"/>
    <m/>
    <m/>
  </r>
  <r>
    <s v="LD1010"/>
    <s v="2026-05-11"/>
    <x v="3"/>
    <s v="Mumbai"/>
    <x v="1"/>
    <n v="65000"/>
    <n v="800"/>
    <n v="250000"/>
    <x v="5"/>
    <m/>
    <m/>
  </r>
  <r>
    <s v="LD1076"/>
    <s v="2026-05-22"/>
    <x v="0"/>
    <s v="Mumbai"/>
    <x v="1"/>
    <n v="22000"/>
    <n v="650"/>
    <n v="150000"/>
    <x v="5"/>
    <m/>
    <m/>
  </r>
  <r>
    <s v="LD1070"/>
    <s v="2026-06-14"/>
    <x v="0"/>
    <s v="Noida"/>
    <x v="0"/>
    <n v="18000"/>
    <n v="720"/>
    <n v="300000"/>
    <x v="5"/>
    <m/>
    <m/>
  </r>
  <r>
    <s v="LD1125"/>
    <s v="2026-06-08"/>
    <x v="2"/>
    <s v="Noida"/>
    <x v="1"/>
    <n v="40000"/>
    <n v="740"/>
    <n v="250000"/>
    <x v="5"/>
    <m/>
    <m/>
  </r>
  <r>
    <s v="LD1035"/>
    <s v="2026-05-04"/>
    <x v="0"/>
    <s v="Noida"/>
    <x v="1"/>
    <n v="40000"/>
    <n v="740"/>
    <n v="150000"/>
    <x v="5"/>
    <m/>
    <m/>
  </r>
  <r>
    <s v="LD1135"/>
    <s v="2026-05-17"/>
    <x v="5"/>
    <s v="Noida"/>
    <x v="1"/>
    <n v="65000"/>
    <n v="610"/>
    <n v="300000"/>
    <x v="5"/>
    <m/>
    <m/>
  </r>
  <r>
    <s v="LD1233"/>
    <s v="2026-05-05"/>
    <x v="5"/>
    <s v="Noida"/>
    <x v="1"/>
    <n v="40000"/>
    <n v="800"/>
    <n v="75000"/>
    <x v="5"/>
    <m/>
    <m/>
  </r>
  <r>
    <s v="LD1251"/>
    <s v="2026-06-20"/>
    <x v="5"/>
    <s v="Noida"/>
    <x v="1"/>
    <n v="45000"/>
    <n v="650"/>
    <n v="75000"/>
    <x v="5"/>
    <m/>
    <m/>
  </r>
  <r>
    <s v="LD1096"/>
    <s v="2026-05-27"/>
    <x v="2"/>
    <s v="Pune"/>
    <x v="0"/>
    <n v="45000"/>
    <n v="650"/>
    <n v="250000"/>
    <x v="5"/>
    <m/>
    <m/>
  </r>
  <r>
    <s v="LD1047"/>
    <s v="2026-06-08"/>
    <x v="0"/>
    <s v="Pune"/>
    <x v="0"/>
    <n v="18000"/>
    <n v="760"/>
    <n v="100000"/>
    <x v="5"/>
    <m/>
    <m/>
  </r>
  <r>
    <s v="LD1110"/>
    <s v="2026-05-11"/>
    <x v="0"/>
    <s v="Pune"/>
    <x v="0"/>
    <n v="22000"/>
    <n v="650"/>
    <n v="50000"/>
    <x v="5"/>
    <m/>
    <m/>
  </r>
  <r>
    <s v="LD1198"/>
    <s v="2026-06-11"/>
    <x v="0"/>
    <s v="Pune"/>
    <x v="0"/>
    <n v="22000"/>
    <n v="780"/>
    <n v="300000"/>
    <x v="5"/>
    <m/>
    <m/>
  </r>
  <r>
    <s v="LD1259"/>
    <s v="2026-05-10"/>
    <x v="0"/>
    <s v="Pune"/>
    <x v="0"/>
    <n v="45000"/>
    <n v="800"/>
    <n v="200000"/>
    <x v="5"/>
    <m/>
    <m/>
  </r>
  <r>
    <s v="LD1297"/>
    <s v="2026-06-11"/>
    <x v="1"/>
    <s v="Pune"/>
    <x v="0"/>
    <n v="18000"/>
    <n v="700"/>
    <n v="150000"/>
    <x v="5"/>
    <m/>
    <m/>
  </r>
  <r>
    <s v="LD1140"/>
    <s v="2026-05-27"/>
    <x v="4"/>
    <s v="Pune"/>
    <x v="1"/>
    <n v="32000"/>
    <n v="720"/>
    <n v="200000"/>
    <x v="5"/>
    <m/>
    <m/>
  </r>
  <r>
    <s v="LD1123"/>
    <s v="2026-06-03"/>
    <x v="1"/>
    <s v="Ahmedabad"/>
    <x v="0"/>
    <n v="65000"/>
    <n v="760"/>
    <n v="75000"/>
    <x v="6"/>
    <s v="No Official Email"/>
    <m/>
  </r>
  <r>
    <s v="LD1277"/>
    <s v="2026-06-13"/>
    <x v="3"/>
    <s v="Ahmedabad"/>
    <x v="1"/>
    <n v="55000"/>
    <n v="670"/>
    <n v="100000"/>
    <x v="6"/>
    <s v="Self Employed"/>
    <m/>
  </r>
  <r>
    <s v="LD1274"/>
    <s v="2026-05-03"/>
    <x v="2"/>
    <s v="Bangalore"/>
    <x v="0"/>
    <n v="25000"/>
    <n v="780"/>
    <n v="50000"/>
    <x v="6"/>
    <s v="Documentation Issues"/>
    <m/>
  </r>
  <r>
    <s v="LD1296"/>
    <s v="2026-06-02"/>
    <x v="4"/>
    <s v="Bangalore"/>
    <x v="1"/>
    <n v="40000"/>
    <n v="800"/>
    <n v="300000"/>
    <x v="6"/>
    <s v="No Payslip"/>
    <m/>
  </r>
  <r>
    <s v="LD1272"/>
    <s v="2026-06-05"/>
    <x v="0"/>
    <s v="Bangalore"/>
    <x v="1"/>
    <n v="18000"/>
    <n v="720"/>
    <n v="300000"/>
    <x v="6"/>
    <s v="Low Salary"/>
    <m/>
  </r>
  <r>
    <s v="LD1250"/>
    <s v="2026-05-11"/>
    <x v="5"/>
    <s v="Bangalore"/>
    <x v="1"/>
    <n v="18000"/>
    <n v="760"/>
    <n v="100000"/>
    <x v="6"/>
    <s v="Low Salary"/>
    <m/>
  </r>
  <r>
    <s v="LD1265"/>
    <s v="2026-05-21"/>
    <x v="5"/>
    <s v="Bangalore"/>
    <x v="1"/>
    <n v="22000"/>
    <n v="700"/>
    <n v="50000"/>
    <x v="6"/>
    <s v="Low Salary"/>
    <m/>
  </r>
  <r>
    <s v="LD1108"/>
    <s v="2026-06-07"/>
    <x v="2"/>
    <s v="Chandigarh"/>
    <x v="0"/>
    <n v="45000"/>
    <n v="720"/>
    <n v="100000"/>
    <x v="6"/>
    <s v="Existing Customer"/>
    <m/>
  </r>
  <r>
    <s v="LD1256"/>
    <s v="2026-05-04"/>
    <x v="2"/>
    <s v="Chandigarh"/>
    <x v="0"/>
    <n v="22000"/>
    <n v="720"/>
    <n v="300000"/>
    <x v="6"/>
    <s v="Low Salary"/>
    <m/>
  </r>
  <r>
    <s v="LD1279"/>
    <s v="2026-06-10"/>
    <x v="2"/>
    <s v="Chandigarh"/>
    <x v="0"/>
    <n v="15000"/>
    <n v="780"/>
    <n v="200000"/>
    <x v="6"/>
    <s v="Low Salary"/>
    <m/>
  </r>
  <r>
    <s v="LD1113"/>
    <s v="2026-05-10"/>
    <x v="5"/>
    <s v="Chandigarh"/>
    <x v="0"/>
    <n v="35000"/>
    <n v="580"/>
    <n v="250000"/>
    <x v="6"/>
    <s v="Low CIBIL"/>
    <m/>
  </r>
  <r>
    <s v="LD1029"/>
    <s v="2026-06-16"/>
    <x v="3"/>
    <s v="Gurgaon"/>
    <x v="0"/>
    <n v="28000"/>
    <n v="800"/>
    <n v="75000"/>
    <x v="6"/>
    <s v="Documentation Issues"/>
    <m/>
  </r>
  <r>
    <s v="LD1024"/>
    <s v="2026-05-11"/>
    <x v="1"/>
    <s v="Gurgaon"/>
    <x v="0"/>
    <n v="22000"/>
    <n v="800"/>
    <n v="200000"/>
    <x v="6"/>
    <s v="Low Salary"/>
    <m/>
  </r>
  <r>
    <s v="LD1127"/>
    <s v="2026-06-23"/>
    <x v="1"/>
    <s v="Gurgaon"/>
    <x v="0"/>
    <n v="40000"/>
    <n v="670"/>
    <n v="150000"/>
    <x v="6"/>
    <s v="Out of Location"/>
    <m/>
  </r>
  <r>
    <s v="LD1168"/>
    <s v="2026-05-15"/>
    <x v="4"/>
    <s v="Gurgaon"/>
    <x v="1"/>
    <n v="40000"/>
    <n v="700"/>
    <n v="200000"/>
    <x v="6"/>
    <s v="Self Employed"/>
    <m/>
  </r>
  <r>
    <s v="LD1019"/>
    <s v="2026-06-16"/>
    <x v="3"/>
    <s v="Gurgaon"/>
    <x v="1"/>
    <n v="35000"/>
    <n v="610"/>
    <n v="250000"/>
    <x v="6"/>
    <s v="Low CIBIL"/>
    <m/>
  </r>
  <r>
    <s v="LD1192"/>
    <s v="2026-05-21"/>
    <x v="4"/>
    <s v="Jaipur"/>
    <x v="0"/>
    <n v="35000"/>
    <s v="Not Available"/>
    <n v="300000"/>
    <x v="6"/>
    <s v="No Official Email"/>
    <m/>
  </r>
  <r>
    <s v="LD1031"/>
    <s v="2026-05-26"/>
    <x v="4"/>
    <s v="Jaipur"/>
    <x v="1"/>
    <n v="35000"/>
    <n v="720"/>
    <n v="50000"/>
    <x v="6"/>
    <s v="No Official Email"/>
    <m/>
  </r>
  <r>
    <s v="LD1282"/>
    <s v="2026-05-21"/>
    <x v="0"/>
    <s v="Jaipur"/>
    <x v="1"/>
    <n v="15000"/>
    <n v="610"/>
    <n v="200000"/>
    <x v="6"/>
    <s v="Low Salary"/>
    <m/>
  </r>
  <r>
    <s v="LD1283"/>
    <s v="2026-05-22"/>
    <x v="5"/>
    <s v="Lucknow"/>
    <x v="1"/>
    <n v="32000"/>
    <n v="610"/>
    <n v="200000"/>
    <x v="6"/>
    <s v="Low CIBIL"/>
    <m/>
  </r>
  <r>
    <s v="LD1009"/>
    <s v="2026-05-24"/>
    <x v="4"/>
    <s v="Mumbai"/>
    <x v="0"/>
    <n v="35000"/>
    <n v="670"/>
    <n v="75000"/>
    <x v="6"/>
    <s v="Out of Location"/>
    <m/>
  </r>
  <r>
    <s v="LD1268"/>
    <s v="2026-05-02"/>
    <x v="3"/>
    <s v="Mumbai"/>
    <x v="0"/>
    <n v="40000"/>
    <n v="760"/>
    <n v="150000"/>
    <x v="6"/>
    <s v="Out of Location"/>
    <m/>
  </r>
  <r>
    <s v="LD1204"/>
    <s v="2026-06-21"/>
    <x v="2"/>
    <s v="Mumbai"/>
    <x v="1"/>
    <n v="55000"/>
    <n v="740"/>
    <n v="50000"/>
    <x v="6"/>
    <s v="Existing Customer"/>
    <m/>
  </r>
  <r>
    <s v="LD1196"/>
    <s v="2026-06-03"/>
    <x v="3"/>
    <s v="Mumbai"/>
    <x v="1"/>
    <n v="22000"/>
    <n v="580"/>
    <n v="50000"/>
    <x v="6"/>
    <s v="Low Salary"/>
    <m/>
  </r>
  <r>
    <s v="LD1275"/>
    <s v="2026-05-21"/>
    <x v="4"/>
    <s v="Noida"/>
    <x v="1"/>
    <n v="40000"/>
    <n v="760"/>
    <n v="75000"/>
    <x v="6"/>
    <s v="Documentation Issues"/>
    <m/>
  </r>
  <r>
    <s v="LD1287"/>
    <s v="2026-05-23"/>
    <x v="3"/>
    <s v="Pune"/>
    <x v="0"/>
    <n v="55000"/>
    <n v="800"/>
    <n v="300000"/>
    <x v="6"/>
    <s v="Existing Customer"/>
    <m/>
  </r>
  <r>
    <s v="LD1190"/>
    <s v="2026-05-12"/>
    <x v="3"/>
    <s v="Pune"/>
    <x v="1"/>
    <n v="18000"/>
    <s v="Not Available"/>
    <n v="150000"/>
    <x v="6"/>
    <s v="Low Salary"/>
    <m/>
  </r>
  <r>
    <s v="LD1083"/>
    <s v="2026-06-04"/>
    <x v="1"/>
    <s v="Pune"/>
    <x v="1"/>
    <n v="28000"/>
    <n v="580"/>
    <n v="250000"/>
    <x v="6"/>
    <s v="Low CIBIL"/>
    <m/>
  </r>
  <r>
    <s v="LD1211"/>
    <s v="2026-05-02"/>
    <x v="0"/>
    <s v="Ahmedabad"/>
    <x v="0"/>
    <n v="65000"/>
    <n v="800"/>
    <n v="100000"/>
    <x v="7"/>
    <m/>
    <m/>
  </r>
  <r>
    <s v="LD1271"/>
    <s v="2026-06-05"/>
    <x v="3"/>
    <s v="Bangalore"/>
    <x v="1"/>
    <n v="32000"/>
    <s v="Not Available"/>
    <n v="200000"/>
    <x v="7"/>
    <m/>
    <m/>
  </r>
  <r>
    <s v="LD1131"/>
    <s v="2026-05-13"/>
    <x v="1"/>
    <s v="Bangalore"/>
    <x v="1"/>
    <n v="45000"/>
    <n v="760"/>
    <n v="100000"/>
    <x v="7"/>
    <m/>
    <m/>
  </r>
  <r>
    <s v="LD1273"/>
    <s v="2026-05-22"/>
    <x v="3"/>
    <s v="Chandigarh"/>
    <x v="0"/>
    <n v="22000"/>
    <n v="580"/>
    <n v="300000"/>
    <x v="7"/>
    <m/>
    <m/>
  </r>
  <r>
    <s v="LD1060"/>
    <s v="2026-05-08"/>
    <x v="4"/>
    <s v="Chandigarh"/>
    <x v="1"/>
    <n v="32000"/>
    <n v="700"/>
    <n v="200000"/>
    <x v="7"/>
    <m/>
    <m/>
  </r>
  <r>
    <s v="LD1232"/>
    <s v="2026-06-22"/>
    <x v="4"/>
    <s v="Chandigarh"/>
    <x v="1"/>
    <n v="22000"/>
    <s v="Not Available"/>
    <n v="100000"/>
    <x v="7"/>
    <m/>
    <m/>
  </r>
  <r>
    <s v="LD1195"/>
    <s v="2026-06-17"/>
    <x v="1"/>
    <s v="Chandigarh"/>
    <x v="1"/>
    <n v="45000"/>
    <n v="580"/>
    <n v="100000"/>
    <x v="7"/>
    <m/>
    <m/>
  </r>
  <r>
    <s v="LD1228"/>
    <s v="2026-05-23"/>
    <x v="2"/>
    <s v="Delhi"/>
    <x v="0"/>
    <n v="22000"/>
    <n v="670"/>
    <n v="200000"/>
    <x v="7"/>
    <m/>
    <m/>
  </r>
  <r>
    <s v="LD1242"/>
    <s v="2026-06-21"/>
    <x v="5"/>
    <s v="Delhi"/>
    <x v="0"/>
    <n v="65000"/>
    <n v="800"/>
    <n v="200000"/>
    <x v="7"/>
    <m/>
    <m/>
  </r>
  <r>
    <s v="LD1244"/>
    <s v="2026-05-03"/>
    <x v="0"/>
    <s v="Gurgaon"/>
    <x v="0"/>
    <n v="65000"/>
    <n v="700"/>
    <n v="200000"/>
    <x v="7"/>
    <m/>
    <m/>
  </r>
  <r>
    <s v="LD1176"/>
    <s v="2026-06-17"/>
    <x v="1"/>
    <s v="Gurgaon"/>
    <x v="0"/>
    <n v="18000"/>
    <n v="580"/>
    <n v="250000"/>
    <x v="7"/>
    <m/>
    <m/>
  </r>
  <r>
    <s v="LD1186"/>
    <s v="2026-05-29"/>
    <x v="5"/>
    <s v="Gurgaon"/>
    <x v="1"/>
    <n v="40000"/>
    <n v="800"/>
    <n v="200000"/>
    <x v="7"/>
    <m/>
    <m/>
  </r>
  <r>
    <s v="LD1081"/>
    <s v="2026-05-30"/>
    <x v="4"/>
    <s v="Jaipur"/>
    <x v="0"/>
    <n v="18000"/>
    <n v="800"/>
    <n v="300000"/>
    <x v="7"/>
    <m/>
    <m/>
  </r>
  <r>
    <s v="LD1066"/>
    <s v="2026-06-02"/>
    <x v="0"/>
    <s v="Jaipur"/>
    <x v="1"/>
    <n v="40000"/>
    <n v="740"/>
    <n v="75000"/>
    <x v="7"/>
    <m/>
    <m/>
  </r>
  <r>
    <s v="LD1145"/>
    <s v="2026-06-06"/>
    <x v="0"/>
    <s v="Jaipur"/>
    <x v="1"/>
    <n v="18000"/>
    <n v="650"/>
    <n v="100000"/>
    <x v="7"/>
    <m/>
    <m/>
  </r>
  <r>
    <s v="LD1119"/>
    <s v="2026-06-01"/>
    <x v="5"/>
    <s v="Lucknow"/>
    <x v="1"/>
    <n v="22000"/>
    <n v="780"/>
    <n v="300000"/>
    <x v="7"/>
    <m/>
    <m/>
  </r>
  <r>
    <s v="LD1291"/>
    <s v="2026-05-31"/>
    <x v="2"/>
    <s v="Mumbai"/>
    <x v="0"/>
    <n v="15000"/>
    <n v="580"/>
    <n v="250000"/>
    <x v="7"/>
    <m/>
    <m/>
  </r>
  <r>
    <s v="LD1158"/>
    <s v="2026-06-14"/>
    <x v="4"/>
    <s v="Mumbai"/>
    <x v="0"/>
    <n v="35000"/>
    <n v="740"/>
    <n v="250000"/>
    <x v="7"/>
    <m/>
    <m/>
  </r>
  <r>
    <s v="LD1281"/>
    <s v="2026-06-14"/>
    <x v="4"/>
    <s v="Mumbai"/>
    <x v="0"/>
    <n v="40000"/>
    <n v="700"/>
    <n v="150000"/>
    <x v="7"/>
    <m/>
    <m/>
  </r>
  <r>
    <s v="LD1053"/>
    <s v="2026-05-27"/>
    <x v="3"/>
    <s v="Mumbai"/>
    <x v="0"/>
    <n v="65000"/>
    <n v="580"/>
    <n v="200000"/>
    <x v="7"/>
    <m/>
    <m/>
  </r>
  <r>
    <s v="LD1138"/>
    <s v="2026-06-18"/>
    <x v="4"/>
    <s v="Mumbai"/>
    <x v="1"/>
    <n v="25000"/>
    <n v="580"/>
    <n v="50000"/>
    <x v="7"/>
    <m/>
    <m/>
  </r>
  <r>
    <s v="LD1253"/>
    <s v="2026-06-16"/>
    <x v="2"/>
    <s v="Noida"/>
    <x v="0"/>
    <n v="18000"/>
    <n v="670"/>
    <n v="250000"/>
    <x v="7"/>
    <m/>
    <m/>
  </r>
  <r>
    <s v="LD1292"/>
    <s v="2026-05-31"/>
    <x v="4"/>
    <s v="Noida"/>
    <x v="0"/>
    <n v="45000"/>
    <n v="610"/>
    <n v="150000"/>
    <x v="7"/>
    <m/>
    <m/>
  </r>
  <r>
    <s v="LD1210"/>
    <s v="2026-05-22"/>
    <x v="1"/>
    <s v="Noida"/>
    <x v="0"/>
    <n v="28000"/>
    <n v="760"/>
    <n v="300000"/>
    <x v="7"/>
    <m/>
    <m/>
  </r>
  <r>
    <s v="LD1245"/>
    <s v="2026-06-06"/>
    <x v="2"/>
    <s v="Noida"/>
    <x v="1"/>
    <n v="32000"/>
    <n v="700"/>
    <n v="50000"/>
    <x v="7"/>
    <m/>
    <m/>
  </r>
  <r>
    <s v="LD1194"/>
    <s v="2026-05-16"/>
    <x v="3"/>
    <s v="Noida"/>
    <x v="1"/>
    <n v="32000"/>
    <n v="580"/>
    <n v="50000"/>
    <x v="7"/>
    <m/>
    <m/>
  </r>
  <r>
    <s v="LD1160"/>
    <s v="2026-05-24"/>
    <x v="1"/>
    <s v="Pune"/>
    <x v="0"/>
    <n v="32000"/>
    <n v="650"/>
    <n v="75000"/>
    <x v="7"/>
    <m/>
    <m/>
  </r>
  <r>
    <s v="LD1058"/>
    <s v="2026-06-04"/>
    <x v="4"/>
    <s v="Pune"/>
    <x v="1"/>
    <n v="65000"/>
    <n v="760"/>
    <n v="300000"/>
    <x v="7"/>
    <m/>
    <m/>
  </r>
  <r>
    <s v="LD1201"/>
    <s v="2026-05-20"/>
    <x v="1"/>
    <s v="Pune"/>
    <x v="1"/>
    <n v="55000"/>
    <s v="Not Available"/>
    <n v="50000"/>
    <x v="7"/>
    <m/>
    <m/>
  </r>
  <r>
    <s v="LD1026"/>
    <s v="2026-05-29"/>
    <x v="5"/>
    <s v="Pune"/>
    <x v="1"/>
    <n v="65000"/>
    <n v="800"/>
    <n v="200000"/>
    <x v="7"/>
    <m/>
    <m/>
  </r>
  <r>
    <s v="LD1116"/>
    <s v="2026-06-17"/>
    <x v="3"/>
    <s v="Ahmedabad"/>
    <x v="1"/>
    <n v="40000"/>
    <n v="580"/>
    <n v="150000"/>
    <x v="8"/>
    <s v="Low CIBIL"/>
    <m/>
  </r>
  <r>
    <s v="LD1246"/>
    <s v="2026-05-02"/>
    <x v="0"/>
    <s v="Ahmedabad"/>
    <x v="1"/>
    <n v="35000"/>
    <n v="700"/>
    <n v="50000"/>
    <x v="8"/>
    <s v="Self Employed"/>
    <m/>
  </r>
  <r>
    <s v="LD1008"/>
    <s v="2026-05-19"/>
    <x v="2"/>
    <s v="Bangalore"/>
    <x v="0"/>
    <n v="18000"/>
    <s v="Not Available"/>
    <n v="300000"/>
    <x v="8"/>
    <s v="Low Salary"/>
    <m/>
  </r>
  <r>
    <s v="LD1043"/>
    <s v="2026-05-07"/>
    <x v="1"/>
    <s v="Bangalore"/>
    <x v="0"/>
    <n v="15000"/>
    <n v="740"/>
    <n v="200000"/>
    <x v="8"/>
    <s v="Low Salary"/>
    <m/>
  </r>
  <r>
    <s v="LD1241"/>
    <s v="2026-05-18"/>
    <x v="1"/>
    <s v="Bangalore"/>
    <x v="1"/>
    <n v="15000"/>
    <n v="700"/>
    <n v="150000"/>
    <x v="8"/>
    <s v="Low Salary"/>
    <m/>
  </r>
  <r>
    <s v="LD1118"/>
    <s v="2026-06-03"/>
    <x v="2"/>
    <s v="Chandigarh"/>
    <x v="0"/>
    <n v="65000"/>
    <n v="670"/>
    <n v="150000"/>
    <x v="8"/>
    <s v="No Payslip"/>
    <m/>
  </r>
  <r>
    <s v="LD1203"/>
    <s v="2026-06-21"/>
    <x v="4"/>
    <s v="Chandigarh"/>
    <x v="1"/>
    <n v="40000"/>
    <n v="780"/>
    <n v="150000"/>
    <x v="8"/>
    <s v="No Official Email"/>
    <m/>
  </r>
  <r>
    <s v="LD1229"/>
    <s v="2026-05-24"/>
    <x v="0"/>
    <s v="Chandigarh"/>
    <x v="1"/>
    <n v="22000"/>
    <n v="800"/>
    <n v="200000"/>
    <x v="8"/>
    <s v="Low Salary"/>
    <m/>
  </r>
  <r>
    <s v="LD1059"/>
    <s v="2026-05-03"/>
    <x v="3"/>
    <s v="Delhi"/>
    <x v="0"/>
    <n v="28000"/>
    <n v="610"/>
    <n v="100000"/>
    <x v="8"/>
    <s v="Low CIBIL"/>
    <m/>
  </r>
  <r>
    <s v="LD1130"/>
    <s v="2026-06-04"/>
    <x v="3"/>
    <s v="Delhi"/>
    <x v="1"/>
    <n v="28000"/>
    <n v="780"/>
    <n v="150000"/>
    <x v="8"/>
    <s v="No Payslip"/>
    <m/>
  </r>
  <r>
    <s v="LD1147"/>
    <s v="2026-05-13"/>
    <x v="5"/>
    <s v="Delhi"/>
    <x v="1"/>
    <n v="28000"/>
    <n v="650"/>
    <n v="250000"/>
    <x v="8"/>
    <s v="Self Employed"/>
    <m/>
  </r>
  <r>
    <s v="LD1087"/>
    <s v="2026-06-06"/>
    <x v="2"/>
    <s v="Gurgaon"/>
    <x v="0"/>
    <n v="28000"/>
    <n v="580"/>
    <n v="100000"/>
    <x v="8"/>
    <s v="Low CIBIL"/>
    <m/>
  </r>
  <r>
    <s v="LD1162"/>
    <s v="2026-06-20"/>
    <x v="1"/>
    <s v="Gurgaon"/>
    <x v="0"/>
    <n v="65000"/>
    <n v="800"/>
    <n v="50000"/>
    <x v="8"/>
    <s v="No Official Email"/>
    <m/>
  </r>
  <r>
    <s v="LD1069"/>
    <s v="2026-05-26"/>
    <x v="2"/>
    <s v="Gurgaon"/>
    <x v="1"/>
    <n v="35000"/>
    <n v="800"/>
    <n v="150000"/>
    <x v="8"/>
    <s v="Existing Customer"/>
    <m/>
  </r>
  <r>
    <s v="LD1041"/>
    <s v="2026-05-14"/>
    <x v="2"/>
    <s v="Gurgaon"/>
    <x v="1"/>
    <n v="65000"/>
    <n v="780"/>
    <n v="100000"/>
    <x v="8"/>
    <s v="Self Employed"/>
    <m/>
  </r>
  <r>
    <s v="LD1063"/>
    <s v="2026-05-19"/>
    <x v="3"/>
    <s v="Gurgaon"/>
    <x v="1"/>
    <n v="45000"/>
    <n v="670"/>
    <n v="250000"/>
    <x v="8"/>
    <s v="Self Employed"/>
    <m/>
  </r>
  <r>
    <s v="LD1175"/>
    <s v="2026-06-13"/>
    <x v="1"/>
    <s v="Gurgaon"/>
    <x v="1"/>
    <n v="35000"/>
    <n v="700"/>
    <n v="75000"/>
    <x v="8"/>
    <s v="Self Employed"/>
    <m/>
  </r>
  <r>
    <s v="LD1017"/>
    <s v="2026-05-17"/>
    <x v="0"/>
    <s v="Jaipur"/>
    <x v="0"/>
    <n v="35000"/>
    <n v="720"/>
    <n v="200000"/>
    <x v="8"/>
    <s v="Existing Customer"/>
    <m/>
  </r>
  <r>
    <s v="LD1106"/>
    <s v="2026-05-10"/>
    <x v="4"/>
    <s v="Jaipur"/>
    <x v="1"/>
    <n v="18000"/>
    <n v="780"/>
    <n v="50000"/>
    <x v="8"/>
    <s v="Low Salary"/>
    <m/>
  </r>
  <r>
    <s v="LD1269"/>
    <s v="2026-06-01"/>
    <x v="4"/>
    <s v="Jaipur"/>
    <x v="1"/>
    <n v="25000"/>
    <n v="650"/>
    <n v="100000"/>
    <x v="8"/>
    <s v="Self Employed"/>
    <m/>
  </r>
  <r>
    <s v="LD1278"/>
    <s v="2026-06-20"/>
    <x v="4"/>
    <s v="Jaipur"/>
    <x v="1"/>
    <n v="65000"/>
    <s v="Not Available"/>
    <n v="250000"/>
    <x v="8"/>
    <s v="Self Employed"/>
    <m/>
  </r>
  <r>
    <s v="LD1088"/>
    <s v="2026-06-10"/>
    <x v="5"/>
    <s v="Jaipur"/>
    <x v="1"/>
    <n v="25000"/>
    <n v="580"/>
    <n v="300000"/>
    <x v="8"/>
    <s v="Low CIBIL"/>
    <m/>
  </r>
  <r>
    <s v="LD1007"/>
    <s v="2026-06-10"/>
    <x v="4"/>
    <s v="Lucknow"/>
    <x v="0"/>
    <n v="35000"/>
    <n v="580"/>
    <n v="300000"/>
    <x v="8"/>
    <s v="Low CIBIL"/>
    <m/>
  </r>
  <r>
    <s v="LD1225"/>
    <s v="2026-05-17"/>
    <x v="3"/>
    <s v="Lucknow"/>
    <x v="0"/>
    <n v="40000"/>
    <n v="740"/>
    <n v="50000"/>
    <x v="8"/>
    <s v="No Official Email"/>
    <m/>
  </r>
  <r>
    <s v="LD1216"/>
    <s v="2026-06-09"/>
    <x v="0"/>
    <s v="Lucknow"/>
    <x v="0"/>
    <n v="35000"/>
    <n v="700"/>
    <n v="150000"/>
    <x v="8"/>
    <s v="No Payslip"/>
    <m/>
  </r>
  <r>
    <s v="LD1264"/>
    <s v="2026-05-21"/>
    <x v="1"/>
    <s v="Lucknow"/>
    <x v="1"/>
    <n v="25000"/>
    <n v="700"/>
    <n v="250000"/>
    <x v="8"/>
    <s v="Self Employed"/>
    <m/>
  </r>
  <r>
    <s v="LD1252"/>
    <s v="2026-05-30"/>
    <x v="0"/>
    <s v="Mumbai"/>
    <x v="1"/>
    <n v="15000"/>
    <n v="700"/>
    <n v="100000"/>
    <x v="8"/>
    <s v="Low Salary"/>
    <m/>
  </r>
  <r>
    <s v="LD1293"/>
    <s v="2026-06-06"/>
    <x v="5"/>
    <s v="Mumbai"/>
    <x v="1"/>
    <n v="32000"/>
    <n v="670"/>
    <n v="250000"/>
    <x v="8"/>
    <s v="No Official Email"/>
    <m/>
  </r>
  <r>
    <s v="LD1141"/>
    <s v="2026-06-09"/>
    <x v="2"/>
    <s v="Noida"/>
    <x v="0"/>
    <n v="22000"/>
    <n v="580"/>
    <n v="150000"/>
    <x v="8"/>
    <s v="Low Salary"/>
    <m/>
  </r>
  <r>
    <s v="LD1171"/>
    <s v="2026-06-05"/>
    <x v="2"/>
    <s v="Noida"/>
    <x v="0"/>
    <n v="22000"/>
    <n v="670"/>
    <n v="200000"/>
    <x v="8"/>
    <s v="Low Salary"/>
    <m/>
  </r>
  <r>
    <s v="LD1177"/>
    <s v="2026-05-23"/>
    <x v="3"/>
    <s v="Noida"/>
    <x v="0"/>
    <n v="55000"/>
    <n v="760"/>
    <n v="150000"/>
    <x v="8"/>
    <s v="No Official Email"/>
    <m/>
  </r>
  <r>
    <s v="LD1298"/>
    <s v="2026-06-09"/>
    <x v="3"/>
    <s v="Noida"/>
    <x v="0"/>
    <n v="32000"/>
    <n v="670"/>
    <n v="75000"/>
    <x v="8"/>
    <s v="No Payslip"/>
    <m/>
  </r>
  <r>
    <s v="LD1067"/>
    <s v="2026-05-06"/>
    <x v="1"/>
    <s v="Noida"/>
    <x v="0"/>
    <n v="28000"/>
    <n v="760"/>
    <n v="100000"/>
    <x v="8"/>
    <s v="Documentation Issues"/>
    <m/>
  </r>
  <r>
    <s v="LD1243"/>
    <s v="2026-05-03"/>
    <x v="5"/>
    <s v="Noida"/>
    <x v="0"/>
    <n v="22000"/>
    <n v="780"/>
    <n v="150000"/>
    <x v="8"/>
    <s v="Low Salary"/>
    <m/>
  </r>
  <r>
    <s v="LD1050"/>
    <s v="2026-06-05"/>
    <x v="3"/>
    <s v="Noida"/>
    <x v="1"/>
    <n v="22000"/>
    <n v="740"/>
    <n v="150000"/>
    <x v="8"/>
    <s v="Low Salary"/>
    <m/>
  </r>
  <r>
    <s v="LD1126"/>
    <s v="2026-05-08"/>
    <x v="0"/>
    <s v="Noida"/>
    <x v="1"/>
    <n v="45000"/>
    <s v="Not Available"/>
    <n v="300000"/>
    <x v="8"/>
    <s v="Self Employed"/>
    <m/>
  </r>
  <r>
    <s v="LD1104"/>
    <s v="2026-05-31"/>
    <x v="5"/>
    <s v="Noida"/>
    <x v="1"/>
    <n v="18000"/>
    <s v="Not Available"/>
    <n v="150000"/>
    <x v="8"/>
    <s v="Low Salary"/>
    <m/>
  </r>
  <r>
    <s v="LD1143"/>
    <s v="2026-05-29"/>
    <x v="1"/>
    <s v="Pune"/>
    <x v="0"/>
    <n v="40000"/>
    <n v="670"/>
    <n v="50000"/>
    <x v="8"/>
    <s v="No Payslip"/>
    <m/>
  </r>
  <r>
    <s v="LD1094"/>
    <s v="2026-06-01"/>
    <x v="4"/>
    <s v="Pune"/>
    <x v="1"/>
    <n v="25000"/>
    <n v="740"/>
    <n v="50000"/>
    <x v="8"/>
    <s v="Out of Location"/>
    <m/>
  </r>
  <r>
    <m/>
    <m/>
    <x v="6"/>
    <m/>
    <x v="2"/>
    <m/>
    <m/>
    <m/>
    <x v="9"/>
    <m/>
    <m/>
  </r>
  <r>
    <m/>
    <m/>
    <x v="6"/>
    <m/>
    <x v="2"/>
    <m/>
    <m/>
    <m/>
    <x v="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D1CD3-9B33-4463-99BB-837A7280F3C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0:E11" firstHeaderRow="1" firstDataRow="1" firstDataCol="0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1"/>
        <item x="2"/>
        <item x="6"/>
        <item x="3"/>
        <item x="4"/>
        <item x="7"/>
        <item x="5"/>
        <item x="8"/>
        <item x="0"/>
        <item t="default"/>
      </items>
    </pivotField>
  </pivotFields>
  <rowItems count="1">
    <i/>
  </rowItems>
  <colItems count="1">
    <i/>
  </colItems>
  <dataFields count="1">
    <dataField name="Count of Lead ID" fld="0" subtotal="count" baseField="0" baseItem="0"/>
  </dataFields>
  <formats count="21"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dataOnly="0" labelOnly="1" outline="0" axis="axisValues" fieldPosition="0"/>
    </format>
    <format dxfId="48">
      <pivotArea dataOnly="0" labelOnly="1" outline="0" axis="axisValues" fieldPosition="0"/>
    </format>
    <format dxfId="4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dataOnly="0" labelOnly="1" outline="0" axis="axisValues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3E5B3-7048-4BB7-AB3E-AFE24F5CB61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 colHeaderCaption="APPLICATION STATUS">
  <location ref="B40:M53" firstHeaderRow="1" firstDataRow="2" firstDataCol="1"/>
  <pivotFields count="10">
    <pivotField dataField="1" showAll="0"/>
    <pivotField showAll="0"/>
    <pivotField showAll="0"/>
    <pivotField axis="axisRow" showAll="0" sortType="descending">
      <items count="12">
        <item x="4"/>
        <item x="0"/>
        <item x="5"/>
        <item x="7"/>
        <item x="3"/>
        <item x="6"/>
        <item x="2"/>
        <item x="9"/>
        <item x="8"/>
        <item x="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0">
        <item x="1"/>
        <item x="2"/>
        <item x="6"/>
        <item x="3"/>
        <item x="4"/>
        <item x="7"/>
        <item x="5"/>
        <item x="8"/>
        <item x="0"/>
        <item t="default"/>
      </items>
    </pivotField>
  </pivotFields>
  <rowFields count="1">
    <field x="3"/>
  </rowFields>
  <rowItems count="12">
    <i>
      <x v="5"/>
    </i>
    <i>
      <x v="8"/>
    </i>
    <i>
      <x v="9"/>
    </i>
    <i>
      <x v="7"/>
    </i>
    <i>
      <x v="1"/>
    </i>
    <i>
      <x v="2"/>
    </i>
    <i>
      <x v="4"/>
    </i>
    <i>
      <x v="6"/>
    </i>
    <i>
      <x/>
    </i>
    <i>
      <x v="3"/>
    </i>
    <i>
      <x v="10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ITY-LOAN MATRIX" fld="0" subtotal="count" baseField="0" baseItem="0"/>
  </dataFields>
  <formats count="60">
    <format dxfId="112">
      <pivotArea type="all" dataOnly="0" outline="0" fieldPosition="0"/>
    </format>
    <format dxfId="111">
      <pivotArea outline="0" collapsedLevelsAreSubtotals="1" fieldPosition="0"/>
    </format>
    <format dxfId="110">
      <pivotArea type="origin" dataOnly="0" labelOnly="1" outline="0" fieldPosition="0"/>
    </format>
    <format dxfId="109">
      <pivotArea field="8" type="button" dataOnly="0" labelOnly="1" outline="0" axis="axisCol" fieldPosition="0"/>
    </format>
    <format dxfId="108">
      <pivotArea type="topRight" dataOnly="0" labelOnly="1" outline="0" fieldPosition="0"/>
    </format>
    <format dxfId="107">
      <pivotArea field="3" type="button" dataOnly="0" labelOnly="1" outline="0" axis="axisRow" fieldPosition="0"/>
    </format>
    <format dxfId="106">
      <pivotArea dataOnly="0" labelOnly="1" fieldPosition="0">
        <references count="1">
          <reference field="3" count="0"/>
        </references>
      </pivotArea>
    </format>
    <format dxfId="105">
      <pivotArea dataOnly="0" labelOnly="1" grandRow="1" outline="0" fieldPosition="0"/>
    </format>
    <format dxfId="104">
      <pivotArea dataOnly="0" labelOnly="1" fieldPosition="0">
        <references count="1">
          <reference field="8" count="0"/>
        </references>
      </pivotArea>
    </format>
    <format dxfId="103">
      <pivotArea dataOnly="0" labelOnly="1" grandCol="1" outline="0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type="origin" dataOnly="0" labelOnly="1" outline="0" fieldPosition="0"/>
    </format>
    <format dxfId="99">
      <pivotArea field="8" type="button" dataOnly="0" labelOnly="1" outline="0" axis="axisCol" fieldPosition="0"/>
    </format>
    <format dxfId="98">
      <pivotArea type="topRight" dataOnly="0" labelOnly="1" outline="0" fieldPosition="0"/>
    </format>
    <format dxfId="97">
      <pivotArea field="3" type="button" dataOnly="0" labelOnly="1" outline="0" axis="axisRow" fieldPosition="0"/>
    </format>
    <format dxfId="96">
      <pivotArea dataOnly="0" labelOnly="1" fieldPosition="0">
        <references count="1">
          <reference field="3" count="0"/>
        </references>
      </pivotArea>
    </format>
    <format dxfId="95">
      <pivotArea dataOnly="0" labelOnly="1" grandRow="1" outline="0" fieldPosition="0"/>
    </format>
    <format dxfId="94">
      <pivotArea dataOnly="0" labelOnly="1" fieldPosition="0">
        <references count="1">
          <reference field="8" count="0"/>
        </references>
      </pivotArea>
    </format>
    <format dxfId="93">
      <pivotArea dataOnly="0" labelOnly="1" grandCol="1" outline="0" fieldPosition="0"/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type="origin" dataOnly="0" labelOnly="1" outline="0" fieldPosition="0"/>
    </format>
    <format dxfId="89">
      <pivotArea field="8" type="button" dataOnly="0" labelOnly="1" outline="0" axis="axisCol" fieldPosition="0"/>
    </format>
    <format dxfId="88">
      <pivotArea type="topRight" dataOnly="0" labelOnly="1" outline="0" fieldPosition="0"/>
    </format>
    <format dxfId="87">
      <pivotArea field="3" type="button" dataOnly="0" labelOnly="1" outline="0" axis="axisRow" fieldPosition="0"/>
    </format>
    <format dxfId="86">
      <pivotArea dataOnly="0" labelOnly="1" fieldPosition="0">
        <references count="1">
          <reference field="3" count="0"/>
        </references>
      </pivotArea>
    </format>
    <format dxfId="85">
      <pivotArea dataOnly="0" labelOnly="1" grandRow="1" outline="0" fieldPosition="0"/>
    </format>
    <format dxfId="84">
      <pivotArea dataOnly="0" labelOnly="1" fieldPosition="0">
        <references count="1">
          <reference field="8" count="0"/>
        </references>
      </pivotArea>
    </format>
    <format dxfId="83">
      <pivotArea dataOnly="0" labelOnly="1" grandCol="1" outline="0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type="origin" dataOnly="0" labelOnly="1" outline="0" fieldPosition="0"/>
    </format>
    <format dxfId="79">
      <pivotArea field="8" type="button" dataOnly="0" labelOnly="1" outline="0" axis="axisCol" fieldPosition="0"/>
    </format>
    <format dxfId="78">
      <pivotArea type="topRight" dataOnly="0" labelOnly="1" outline="0" fieldPosition="0"/>
    </format>
    <format dxfId="77">
      <pivotArea field="3" type="button" dataOnly="0" labelOnly="1" outline="0" axis="axisRow" fieldPosition="0"/>
    </format>
    <format dxfId="76">
      <pivotArea dataOnly="0" labelOnly="1" fieldPosition="0">
        <references count="1">
          <reference field="3" count="0"/>
        </references>
      </pivotArea>
    </format>
    <format dxfId="75">
      <pivotArea dataOnly="0" labelOnly="1" grandRow="1" outline="0" fieldPosition="0"/>
    </format>
    <format dxfId="74">
      <pivotArea dataOnly="0" labelOnly="1" fieldPosition="0">
        <references count="1">
          <reference field="8" count="0"/>
        </references>
      </pivotArea>
    </format>
    <format dxfId="73">
      <pivotArea dataOnly="0" labelOnly="1" grandCol="1" outline="0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type="origin" dataOnly="0" labelOnly="1" outline="0" fieldPosition="0"/>
    </format>
    <format dxfId="69">
      <pivotArea field="8" type="button" dataOnly="0" labelOnly="1" outline="0" axis="axisCol" fieldPosition="0"/>
    </format>
    <format dxfId="68">
      <pivotArea type="topRight" dataOnly="0" labelOnly="1" outline="0" fieldPosition="0"/>
    </format>
    <format dxfId="67">
      <pivotArea field="3" type="button" dataOnly="0" labelOnly="1" outline="0" axis="axisRow" fieldPosition="0"/>
    </format>
    <format dxfId="66">
      <pivotArea dataOnly="0" labelOnly="1" fieldPosition="0">
        <references count="1">
          <reference field="3" count="0"/>
        </references>
      </pivotArea>
    </format>
    <format dxfId="65">
      <pivotArea dataOnly="0" labelOnly="1" grandRow="1" outline="0" fieldPosition="0"/>
    </format>
    <format dxfId="64">
      <pivotArea dataOnly="0" labelOnly="1" fieldPosition="0">
        <references count="1">
          <reference field="8" count="0"/>
        </references>
      </pivotArea>
    </format>
    <format dxfId="63">
      <pivotArea dataOnly="0" labelOnly="1" grandCol="1" outline="0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type="origin" dataOnly="0" labelOnly="1" outline="0" fieldPosition="0"/>
    </format>
    <format dxfId="59">
      <pivotArea field="8" type="button" dataOnly="0" labelOnly="1" outline="0" axis="axisCol" fieldPosition="0"/>
    </format>
    <format dxfId="58">
      <pivotArea type="topRight" dataOnly="0" labelOnly="1" outline="0" fieldPosition="0"/>
    </format>
    <format dxfId="57">
      <pivotArea field="3" type="button" dataOnly="0" labelOnly="1" outline="0" axis="axisRow" fieldPosition="0"/>
    </format>
    <format dxfId="56">
      <pivotArea dataOnly="0" labelOnly="1" fieldPosition="0">
        <references count="1">
          <reference field="3" count="0"/>
        </references>
      </pivotArea>
    </format>
    <format dxfId="55">
      <pivotArea dataOnly="0" labelOnly="1" grandRow="1" outline="0" fieldPosition="0"/>
    </format>
    <format dxfId="54">
      <pivotArea dataOnly="0" labelOnly="1" fieldPosition="0">
        <references count="1">
          <reference field="8" count="0"/>
        </references>
      </pivotArea>
    </format>
    <format dxfId="53">
      <pivotArea dataOnly="0" labelOnly="1" grandCol="1" outline="0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14D0F-B445-407B-8021-A58FB034C0B5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16:F24" firstHeaderRow="1" firstDataRow="1" firstDataCol="1"/>
  <pivotFields count="11">
    <pivotField dataField="1" showAll="0"/>
    <pivotField showAll="0"/>
    <pivotField axis="axisRow" showAll="0">
      <items count="8">
        <item x="2"/>
        <item x="4"/>
        <item x="3"/>
        <item x="0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Lead ID" fld="0" subtotal="count" baseField="0" baseItem="0"/>
  </dataFields>
  <formats count="30">
    <format dxfId="142">
      <pivotArea type="all" dataOnly="0" outline="0" fieldPosition="0"/>
    </format>
    <format dxfId="141">
      <pivotArea outline="0" collapsedLevelsAreSubtotals="1" fieldPosition="0"/>
    </format>
    <format dxfId="140">
      <pivotArea field="2" type="button" dataOnly="0" labelOnly="1" outline="0" axis="axisRow" fieldPosition="0"/>
    </format>
    <format dxfId="139">
      <pivotArea dataOnly="0" labelOnly="1" fieldPosition="0">
        <references count="1">
          <reference field="2" count="0"/>
        </references>
      </pivotArea>
    </format>
    <format dxfId="138">
      <pivotArea dataOnly="0" labelOnly="1" grandRow="1" outline="0" fieldPosition="0"/>
    </format>
    <format dxfId="137">
      <pivotArea dataOnly="0" labelOnly="1" outline="0" axis="axisValues" fieldPosition="0"/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field="2" type="button" dataOnly="0" labelOnly="1" outline="0" axis="axisRow" fieldPosition="0"/>
    </format>
    <format dxfId="133">
      <pivotArea dataOnly="0" labelOnly="1" fieldPosition="0">
        <references count="1">
          <reference field="2" count="0"/>
        </references>
      </pivotArea>
    </format>
    <format dxfId="132">
      <pivotArea dataOnly="0" labelOnly="1" grandRow="1" outline="0" fieldPosition="0"/>
    </format>
    <format dxfId="131">
      <pivotArea dataOnly="0" labelOnly="1" outline="0" axis="axisValues" fieldPosition="0"/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2" type="button" dataOnly="0" labelOnly="1" outline="0" axis="axisRow" fieldPosition="0"/>
    </format>
    <format dxfId="127">
      <pivotArea dataOnly="0" labelOnly="1" fieldPosition="0">
        <references count="1">
          <reference field="2" count="0"/>
        </references>
      </pivotArea>
    </format>
    <format dxfId="126">
      <pivotArea dataOnly="0" labelOnly="1" grandRow="1" outline="0" fieldPosition="0"/>
    </format>
    <format dxfId="125">
      <pivotArea dataOnly="0" labelOnly="1" outline="0" axis="axisValues" fieldPosition="0"/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2" type="button" dataOnly="0" labelOnly="1" outline="0" axis="axisRow" fieldPosition="0"/>
    </format>
    <format dxfId="121">
      <pivotArea dataOnly="0" labelOnly="1" fieldPosition="0">
        <references count="1">
          <reference field="2" count="0"/>
        </references>
      </pivotArea>
    </format>
    <format dxfId="120">
      <pivotArea dataOnly="0" labelOnly="1" grandRow="1" outline="0" fieldPosition="0"/>
    </format>
    <format dxfId="119">
      <pivotArea dataOnly="0" labelOnly="1" outline="0" axis="axisValues" fieldPosition="0"/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2" type="button" dataOnly="0" labelOnly="1" outline="0" axis="axisRow" fieldPosition="0"/>
    </format>
    <format dxfId="115">
      <pivotArea dataOnly="0" labelOnly="1" fieldPosition="0">
        <references count="1">
          <reference field="2" count="0"/>
        </references>
      </pivotArea>
    </format>
    <format dxfId="114">
      <pivotArea dataOnly="0" labelOnly="1" grandRow="1" outline="0" fieldPosition="0"/>
    </format>
    <format dxfId="113">
      <pivotArea dataOnly="0" labelOnly="1" outline="0" axis="axisValues" fieldPosition="0"/>
    </format>
  </format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E73C4-5997-4714-B584-AF6DA6CFA634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B16:C27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Lead ID" fld="0" subtotal="count" baseField="0" baseItem="0"/>
  </dataFields>
  <formats count="30">
    <format dxfId="172">
      <pivotArea type="all" dataOnly="0" outline="0" fieldPosition="0"/>
    </format>
    <format dxfId="171">
      <pivotArea outline="0" collapsedLevelsAreSubtotals="1" fieldPosition="0"/>
    </format>
    <format dxfId="170">
      <pivotArea field="8" type="button" dataOnly="0" labelOnly="1" outline="0" axis="axisRow" fieldPosition="0"/>
    </format>
    <format dxfId="169">
      <pivotArea dataOnly="0" labelOnly="1" fieldPosition="0">
        <references count="1">
          <reference field="8" count="0"/>
        </references>
      </pivotArea>
    </format>
    <format dxfId="168">
      <pivotArea dataOnly="0" labelOnly="1" grandRow="1" outline="0" fieldPosition="0"/>
    </format>
    <format dxfId="167">
      <pivotArea dataOnly="0" labelOnly="1" outline="0" axis="axisValues" fieldPosition="0"/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8" type="button" dataOnly="0" labelOnly="1" outline="0" axis="axisRow" fieldPosition="0"/>
    </format>
    <format dxfId="163">
      <pivotArea dataOnly="0" labelOnly="1" fieldPosition="0">
        <references count="1">
          <reference field="8" count="0"/>
        </references>
      </pivotArea>
    </format>
    <format dxfId="162">
      <pivotArea dataOnly="0" labelOnly="1" grandRow="1" outline="0" fieldPosition="0"/>
    </format>
    <format dxfId="161">
      <pivotArea dataOnly="0" labelOnly="1" outline="0" axis="axisValues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8" type="button" dataOnly="0" labelOnly="1" outline="0" axis="axisRow" fieldPosition="0"/>
    </format>
    <format dxfId="157">
      <pivotArea dataOnly="0" labelOnly="1" fieldPosition="0">
        <references count="1">
          <reference field="8" count="0"/>
        </references>
      </pivotArea>
    </format>
    <format dxfId="156">
      <pivotArea dataOnly="0" labelOnly="1" grandRow="1" outline="0" fieldPosition="0"/>
    </format>
    <format dxfId="155">
      <pivotArea dataOnly="0" labelOnly="1" outline="0" axis="axisValues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8" type="button" dataOnly="0" labelOnly="1" outline="0" axis="axisRow" fieldPosition="0"/>
    </format>
    <format dxfId="151">
      <pivotArea dataOnly="0" labelOnly="1" fieldPosition="0">
        <references count="1">
          <reference field="8" count="0"/>
        </references>
      </pivotArea>
    </format>
    <format dxfId="150">
      <pivotArea dataOnly="0" labelOnly="1" grandRow="1" outline="0" fieldPosition="0"/>
    </format>
    <format dxfId="149">
      <pivotArea dataOnly="0" labelOnly="1" outline="0" axis="axisValues" fieldPosition="0"/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field="8" type="button" dataOnly="0" labelOnly="1" outline="0" axis="axisRow" fieldPosition="0"/>
    </format>
    <format dxfId="145">
      <pivotArea dataOnly="0" labelOnly="1" fieldPosition="0">
        <references count="1">
          <reference field="8" count="0"/>
        </references>
      </pivotArea>
    </format>
    <format dxfId="144">
      <pivotArea dataOnly="0" labelOnly="1" grandRow="1" outline="0" fieldPosition="0"/>
    </format>
    <format dxfId="143">
      <pivotArea dataOnly="0" labelOnly="1" outline="0" axis="axisValues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EC11C-6501-4355-B896-90478766293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JECTION REASON">
  <location ref="E28:F38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6"/>
        <item x="3"/>
        <item x="4"/>
        <item x="7"/>
        <item x="5"/>
        <item x="8"/>
        <item x="0"/>
        <item t="default"/>
      </items>
    </pivotField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Lead ID" fld="0" subtotal="count" baseField="0" baseItem="0"/>
  </dataFields>
  <formats count="45">
    <format dxfId="217">
      <pivotArea type="all" dataOnly="0" outline="0" fieldPosition="0"/>
    </format>
    <format dxfId="216">
      <pivotArea outline="0" collapsedLevelsAreSubtotals="1" fieldPosition="0"/>
    </format>
    <format dxfId="215">
      <pivotArea field="9" type="button" dataOnly="0" labelOnly="1" outline="0" axis="axisRow" fieldPosition="0"/>
    </format>
    <format dxfId="214">
      <pivotArea dataOnly="0" labelOnly="1" fieldPosition="0">
        <references count="1">
          <reference field="9" count="0"/>
        </references>
      </pivotArea>
    </format>
    <format dxfId="213">
      <pivotArea dataOnly="0" labelOnly="1" grandRow="1" outline="0" fieldPosition="0"/>
    </format>
    <format dxfId="212">
      <pivotArea dataOnly="0" labelOnly="1" outline="0" axis="axisValues" fieldPosition="0"/>
    </format>
    <format dxfId="211">
      <pivotArea dataOnly="0" labelOnly="1" fieldPosition="0">
        <references count="1">
          <reference field="9" count="0"/>
        </references>
      </pivotArea>
    </format>
    <format dxfId="210">
      <pivotArea outline="0" collapsedLevelsAreSubtotals="1" fieldPosition="0"/>
    </format>
    <format dxfId="209">
      <pivotArea type="all" dataOnly="0" outline="0" fieldPosition="0"/>
    </format>
    <format dxfId="208">
      <pivotArea outline="0" collapsedLevelsAreSubtotals="1" fieldPosition="0"/>
    </format>
    <format dxfId="207">
      <pivotArea field="9" type="button" dataOnly="0" labelOnly="1" outline="0" axis="axisRow" fieldPosition="0"/>
    </format>
    <format dxfId="206">
      <pivotArea dataOnly="0" labelOnly="1" fieldPosition="0">
        <references count="1">
          <reference field="9" count="0"/>
        </references>
      </pivotArea>
    </format>
    <format dxfId="205">
      <pivotArea dataOnly="0" labelOnly="1" grandRow="1" outline="0" fieldPosition="0"/>
    </format>
    <format dxfId="204">
      <pivotArea dataOnly="0" labelOnly="1" outline="0" axis="axisValues" fieldPosition="0"/>
    </format>
    <format dxfId="203">
      <pivotArea dataOnly="0" labelOnly="1" outline="0" axis="axisValues" fieldPosition="0"/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9" type="button" dataOnly="0" labelOnly="1" outline="0" axis="axisRow" fieldPosition="0"/>
    </format>
    <format dxfId="199">
      <pivotArea dataOnly="0" labelOnly="1" fieldPosition="0">
        <references count="1">
          <reference field="9" count="0"/>
        </references>
      </pivotArea>
    </format>
    <format dxfId="198">
      <pivotArea dataOnly="0" labelOnly="1" grandRow="1" outline="0" fieldPosition="0"/>
    </format>
    <format dxfId="197">
      <pivotArea dataOnly="0" labelOnly="1" outline="0" axis="axisValues" fieldPosition="0"/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field="9" type="button" dataOnly="0" labelOnly="1" outline="0" axis="axisRow" fieldPosition="0"/>
    </format>
    <format dxfId="193">
      <pivotArea dataOnly="0" labelOnly="1" fieldPosition="0">
        <references count="1">
          <reference field="9" count="0"/>
        </references>
      </pivotArea>
    </format>
    <format dxfId="192">
      <pivotArea dataOnly="0" labelOnly="1" grandRow="1" outline="0" fieldPosition="0"/>
    </format>
    <format dxfId="191">
      <pivotArea dataOnly="0" labelOnly="1" outline="0" axis="axisValues" fieldPosition="0"/>
    </format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9" type="button" dataOnly="0" labelOnly="1" outline="0" axis="axisRow" fieldPosition="0"/>
    </format>
    <format dxfId="187">
      <pivotArea dataOnly="0" labelOnly="1" fieldPosition="0">
        <references count="1">
          <reference field="9" count="0"/>
        </references>
      </pivotArea>
    </format>
    <format dxfId="186">
      <pivotArea dataOnly="0" labelOnly="1" grandRow="1" outline="0" fieldPosition="0"/>
    </format>
    <format dxfId="185">
      <pivotArea dataOnly="0" labelOnly="1" outline="0" axis="axisValues" fieldPosition="0"/>
    </format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9" type="button" dataOnly="0" labelOnly="1" outline="0" axis="axisRow" fieldPosition="0"/>
    </format>
    <format dxfId="181">
      <pivotArea dataOnly="0" labelOnly="1" fieldPosition="0">
        <references count="1">
          <reference field="9" count="0"/>
        </references>
      </pivotArea>
    </format>
    <format dxfId="180">
      <pivotArea dataOnly="0" labelOnly="1" grandRow="1" outline="0" fieldPosition="0"/>
    </format>
    <format dxfId="179">
      <pivotArea dataOnly="0" labelOnly="1" outline="0" axis="axisValues" fieldPosition="0"/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9" type="button" dataOnly="0" labelOnly="1" outline="0" axis="axisRow" fieldPosition="0"/>
    </format>
    <format dxfId="175">
      <pivotArea dataOnly="0" labelOnly="1" fieldPosition="0">
        <references count="1">
          <reference field="9" count="0"/>
        </references>
      </pivotArea>
    </format>
    <format dxfId="174">
      <pivotArea dataOnly="0" labelOnly="1" grandRow="1" outline="0" fieldPosition="0"/>
    </format>
    <format dxfId="173">
      <pivotArea dataOnly="0" labelOnly="1" outline="0" axis="axisValues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2D1B4-658F-4584-972B-C0A203226847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B28:C38" firstHeaderRow="1" firstDataRow="1" firstDataCol="1"/>
  <pivotFields count="2">
    <pivotField axis="axisRow" allDrilled="1" showAll="0" dataSourceSort="1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Monthly Salary" fld="1" subtotal="average" baseField="0" baseItem="0"/>
  </dataFields>
  <formats count="30">
    <format dxfId="247">
      <pivotArea type="all" dataOnly="0" outline="0" fieldPosition="0"/>
    </format>
    <format dxfId="246">
      <pivotArea outline="0" collapsedLevelsAreSubtotals="1" fieldPosition="0"/>
    </format>
    <format dxfId="245">
      <pivotArea field="0" type="button" dataOnly="0" labelOnly="1" outline="0" axis="axisRow" fieldPosition="0"/>
    </format>
    <format dxfId="244">
      <pivotArea dataOnly="0" labelOnly="1" fieldPosition="0">
        <references count="1">
          <reference field="0" count="0"/>
        </references>
      </pivotArea>
    </format>
    <format dxfId="243">
      <pivotArea dataOnly="0" labelOnly="1" grandRow="1" outline="0" fieldPosition="0"/>
    </format>
    <format dxfId="242">
      <pivotArea dataOnly="0" labelOnly="1" outline="0" axis="axisValues" fieldPosition="0"/>
    </format>
    <format dxfId="241">
      <pivotArea type="all" dataOnly="0" outline="0" fieldPosition="0"/>
    </format>
    <format dxfId="240">
      <pivotArea outline="0" collapsedLevelsAreSubtotals="1" fieldPosition="0"/>
    </format>
    <format dxfId="239">
      <pivotArea field="0" type="button" dataOnly="0" labelOnly="1" outline="0" axis="axisRow" fieldPosition="0"/>
    </format>
    <format dxfId="238">
      <pivotArea dataOnly="0" labelOnly="1" fieldPosition="0">
        <references count="1">
          <reference field="0" count="0"/>
        </references>
      </pivotArea>
    </format>
    <format dxfId="237">
      <pivotArea dataOnly="0" labelOnly="1" grandRow="1" outline="0" fieldPosition="0"/>
    </format>
    <format dxfId="236">
      <pivotArea dataOnly="0" labelOnly="1" outline="0" axis="axisValues" fieldPosition="0"/>
    </format>
    <format dxfId="235">
      <pivotArea type="all" dataOnly="0" outline="0" fieldPosition="0"/>
    </format>
    <format dxfId="234">
      <pivotArea outline="0" collapsedLevelsAreSubtotals="1" fieldPosition="0"/>
    </format>
    <format dxfId="233">
      <pivotArea field="0" type="button" dataOnly="0" labelOnly="1" outline="0" axis="axisRow" fieldPosition="0"/>
    </format>
    <format dxfId="232">
      <pivotArea dataOnly="0" labelOnly="1" fieldPosition="0">
        <references count="1">
          <reference field="0" count="0"/>
        </references>
      </pivotArea>
    </format>
    <format dxfId="231">
      <pivotArea dataOnly="0" labelOnly="1" grandRow="1" outline="0" fieldPosition="0"/>
    </format>
    <format dxfId="230">
      <pivotArea dataOnly="0" labelOnly="1" outline="0" axis="axisValues" fieldPosition="0"/>
    </format>
    <format dxfId="229">
      <pivotArea type="all" dataOnly="0" outline="0" fieldPosition="0"/>
    </format>
    <format dxfId="228">
      <pivotArea outline="0" collapsedLevelsAreSubtotals="1" fieldPosition="0"/>
    </format>
    <format dxfId="227">
      <pivotArea field="0" type="button" dataOnly="0" labelOnly="1" outline="0" axis="axisRow" fieldPosition="0"/>
    </format>
    <format dxfId="226">
      <pivotArea dataOnly="0" labelOnly="1" fieldPosition="0">
        <references count="1">
          <reference field="0" count="0"/>
        </references>
      </pivotArea>
    </format>
    <format dxfId="225">
      <pivotArea dataOnly="0" labelOnly="1" grandRow="1" outline="0" fieldPosition="0"/>
    </format>
    <format dxfId="224">
      <pivotArea dataOnly="0" labelOnly="1" outline="0" axis="axisValues" fieldPosition="0"/>
    </format>
    <format dxfId="223">
      <pivotArea type="all" dataOnly="0" outline="0" fieldPosition="0"/>
    </format>
    <format dxfId="222">
      <pivotArea outline="0" collapsedLevelsAreSubtotals="1" fieldPosition="0"/>
    </format>
    <format dxfId="221">
      <pivotArea field="0" type="button" dataOnly="0" labelOnly="1" outline="0" axis="axisRow" fieldPosition="0"/>
    </format>
    <format dxfId="220">
      <pivotArea dataOnly="0" labelOnly="1" fieldPosition="0">
        <references count="1">
          <reference field="0" count="0"/>
        </references>
      </pivotArea>
    </format>
    <format dxfId="219">
      <pivotArea dataOnly="0" labelOnly="1" grandRow="1" outline="0" fieldPosition="0"/>
    </format>
    <format dxfId="218">
      <pivotArea dataOnly="0" labelOnly="1" outline="0" axis="axisValues" fieldPosition="0"/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Monthly Salary"/>
  </pivotHierarchies>
  <pivotTableStyleInfo name="PivotStyleMedium3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ead_Funnel_Practice_1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219F56-DF3D-429E-9B2A-273F3272C54C}" name="Table1" displayName="Table1" ref="A1:J300" totalsRowShown="0" headerRowDxfId="26" dataDxfId="25" tableBorderDxfId="24">
  <autoFilter ref="A1:J300" xr:uid="{38219F56-DF3D-429E-9B2A-273F3272C54C}"/>
  <tableColumns count="10">
    <tableColumn id="1" xr3:uid="{2BCB6F98-FDE7-46B0-8D0D-41DF98C375B1}" name="Lead ID" dataDxfId="23"/>
    <tableColumn id="2" xr3:uid="{C9903991-E2C6-47D5-B4DD-F45C548351FB}" name="Lead Date" dataDxfId="22"/>
    <tableColumn id="3" xr3:uid="{EFA06F3D-08AA-4A60-BD08-ECAE65503DF2}" name="Source" dataDxfId="21"/>
    <tableColumn id="4" xr3:uid="{CB1B02C9-AA4C-485A-92E8-BCFE8DDDD156}" name="City" dataDxfId="20"/>
    <tableColumn id="5" xr3:uid="{3E946E68-4B14-45EC-AC9B-62ED62E8AB44}" name="Employment Type" dataDxfId="19"/>
    <tableColumn id="6" xr3:uid="{A6706852-6377-4A3B-91DB-E4D20EA7C6D4}" name="Monthly Salary" dataDxfId="18"/>
    <tableColumn id="7" xr3:uid="{C60FAE98-604C-4052-879A-064CC6D18256}" name="CIBIL Score" dataDxfId="17"/>
    <tableColumn id="8" xr3:uid="{6EFC5555-D47B-44C4-8FD5-BB657D378883}" name="Loan Amount Requested" dataDxfId="16"/>
    <tableColumn id="9" xr3:uid="{ACC17536-88B3-4378-908C-EF7E3AAD7574}" name="Status" dataDxfId="15"/>
    <tableColumn id="10" xr3:uid="{1D513270-9DB7-49DC-B853-6EC973B35793}" name="Rejection Reason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2FE6C0-0654-4252-8021-843077AD67D0}" name="Table2" displayName="Table2" ref="A1:K302" totalsRowShown="0" headerRowDxfId="13" dataDxfId="12" tableBorderDxfId="11">
  <autoFilter ref="A1:K302" xr:uid="{462FE6C0-0654-4252-8021-843077AD67D0}"/>
  <sortState xmlns:xlrd2="http://schemas.microsoft.com/office/spreadsheetml/2017/richdata2" ref="A2:J302">
    <sortCondition ref="I2:I302"/>
    <sortCondition ref="D2:D302"/>
    <sortCondition ref="E2:E302"/>
    <sortCondition ref="C2:C302"/>
  </sortState>
  <tableColumns count="11">
    <tableColumn id="1" xr3:uid="{ACC37B1E-B363-45BA-8623-98E8FF831D64}" name="Lead ID" dataDxfId="10"/>
    <tableColumn id="2" xr3:uid="{ADFDA2E0-6B45-40FB-96AF-0F8C05966349}" name="Lead Date" dataDxfId="9"/>
    <tableColumn id="3" xr3:uid="{048E9B19-537F-4DB9-8154-EE37F3ADF679}" name="Source" dataDxfId="8"/>
    <tableColumn id="4" xr3:uid="{304F7EE5-2A16-42A9-9636-A2A389874958}" name="City" dataDxfId="7"/>
    <tableColumn id="5" xr3:uid="{39F4A770-CAD2-4E87-AAF4-524572EF2195}" name="Employment Type" dataDxfId="6"/>
    <tableColumn id="6" xr3:uid="{C822F448-D540-4A80-BE0C-D81720F41278}" name="Monthly Salary" dataDxfId="5"/>
    <tableColumn id="7" xr3:uid="{BF982797-C726-42DB-9D6E-970B1084C85A}" name="CIBIL Score" dataDxfId="4"/>
    <tableColumn id="8" xr3:uid="{B2FCC81C-4624-442A-8204-1B0EBD15015B}" name="Loan Amount Requested" dataDxfId="3"/>
    <tableColumn id="9" xr3:uid="{4115363A-C9E5-49DE-B76C-AC30C58AFED9}" name="Status" dataDxfId="2"/>
    <tableColumn id="10" xr3:uid="{3A833A54-C740-443A-84D8-0DA1B653DD6A}" name="Rejection Reason" dataDxfId="1"/>
    <tableColumn id="11" xr3:uid="{4A919B94-839B-40F6-A8CC-9CCD1134BE15}" name="DROP OFF STAGE" dataDxfId="0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090FE7-BE09-4398-9DE1-7F243A0B8D41}" name="Table5" displayName="Table5" ref="N40:N42" totalsRowCount="1" headerRowDxfId="31" dataDxfId="30" totalsRowDxfId="29">
  <autoFilter ref="N40:N41" xr:uid="{7C090FE7-BE09-4398-9DE1-7F243A0B8D41}"/>
  <tableColumns count="1">
    <tableColumn id="1" xr3:uid="{791F2DDB-38C4-492B-A524-C5DA6A1CC0D9}" name="CITY WISE" totalsRowFunction="custom" dataDxfId="28" totalsRowDxfId="27" totalsRowCellStyle="Percent">
      <totalsRowFormula>E42/M42</totalsRow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E5F2-2AF7-444E-AB96-3E6D18A4D64A}">
  <dimension ref="A1:J301"/>
  <sheetViews>
    <sheetView zoomScale="55" workbookViewId="0">
      <selection activeCell="S12" sqref="S12"/>
    </sheetView>
  </sheetViews>
  <sheetFormatPr defaultColWidth="8.6640625" defaultRowHeight="14.4" x14ac:dyDescent="0.3"/>
  <cols>
    <col min="1" max="1" width="12.77734375" bestFit="1" customWidth="1"/>
    <col min="2" max="2" width="15.21875" bestFit="1" customWidth="1"/>
    <col min="3" max="3" width="21.109375" bestFit="1" customWidth="1"/>
    <col min="4" max="4" width="10.6640625" bestFit="1" customWidth="1"/>
    <col min="5" max="5" width="23.5546875" bestFit="1" customWidth="1"/>
    <col min="6" max="6" width="20" bestFit="1" customWidth="1"/>
    <col min="7" max="7" width="16.88671875" bestFit="1" customWidth="1"/>
    <col min="8" max="8" width="30" bestFit="1" customWidth="1"/>
    <col min="9" max="9" width="12.21875" bestFit="1" customWidth="1"/>
    <col min="10" max="10" width="22.77734375" bestFit="1" customWidth="1"/>
  </cols>
  <sheetData>
    <row r="1" spans="1:10" ht="1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15" customHeight="1" x14ac:dyDescent="0.3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1">
        <v>28000</v>
      </c>
      <c r="G2" s="10">
        <v>650</v>
      </c>
      <c r="H2" s="11">
        <v>250000</v>
      </c>
      <c r="I2" s="10" t="s">
        <v>15</v>
      </c>
      <c r="J2" s="10"/>
    </row>
    <row r="3" spans="1:10" ht="15" customHeight="1" x14ac:dyDescent="0.3">
      <c r="A3" s="10" t="s">
        <v>16</v>
      </c>
      <c r="B3" s="10" t="s">
        <v>17</v>
      </c>
      <c r="C3" s="10" t="s">
        <v>12</v>
      </c>
      <c r="D3" s="10" t="s">
        <v>18</v>
      </c>
      <c r="E3" s="10" t="s">
        <v>14</v>
      </c>
      <c r="F3" s="11">
        <v>55000</v>
      </c>
      <c r="G3" s="10">
        <v>720</v>
      </c>
      <c r="H3" s="11">
        <v>50000</v>
      </c>
      <c r="I3" s="10" t="s">
        <v>19</v>
      </c>
      <c r="J3" s="10"/>
    </row>
    <row r="4" spans="1:10" ht="15" customHeight="1" x14ac:dyDescent="0.3">
      <c r="A4" s="10" t="s">
        <v>20</v>
      </c>
      <c r="B4" s="10" t="s">
        <v>21</v>
      </c>
      <c r="C4" s="10" t="s">
        <v>22</v>
      </c>
      <c r="D4" s="10" t="s">
        <v>18</v>
      </c>
      <c r="E4" s="10" t="s">
        <v>14</v>
      </c>
      <c r="F4" s="11">
        <v>45000</v>
      </c>
      <c r="G4" s="10">
        <v>650</v>
      </c>
      <c r="H4" s="11">
        <v>250000</v>
      </c>
      <c r="I4" s="10" t="s">
        <v>23</v>
      </c>
      <c r="J4" s="10"/>
    </row>
    <row r="5" spans="1:10" ht="15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0" t="s">
        <v>28</v>
      </c>
      <c r="F5" s="11">
        <v>55000</v>
      </c>
      <c r="G5" s="10">
        <v>670</v>
      </c>
      <c r="H5" s="11">
        <v>50000</v>
      </c>
      <c r="I5" s="10" t="s">
        <v>29</v>
      </c>
      <c r="J5" s="10"/>
    </row>
    <row r="6" spans="1:10" ht="15" customHeight="1" x14ac:dyDescent="0.3">
      <c r="A6" s="10" t="s">
        <v>30</v>
      </c>
      <c r="B6" s="10" t="s">
        <v>31</v>
      </c>
      <c r="C6" s="10" t="s">
        <v>22</v>
      </c>
      <c r="D6" s="10" t="s">
        <v>32</v>
      </c>
      <c r="E6" s="10" t="s">
        <v>28</v>
      </c>
      <c r="F6" s="11">
        <v>28000</v>
      </c>
      <c r="G6" s="10">
        <v>610</v>
      </c>
      <c r="H6" s="11">
        <v>300000</v>
      </c>
      <c r="I6" s="10" t="s">
        <v>15</v>
      </c>
      <c r="J6" s="10"/>
    </row>
    <row r="7" spans="1:10" ht="15" customHeight="1" x14ac:dyDescent="0.3">
      <c r="A7" s="10" t="s">
        <v>33</v>
      </c>
      <c r="B7" s="10" t="s">
        <v>34</v>
      </c>
      <c r="C7" s="10" t="s">
        <v>35</v>
      </c>
      <c r="D7" s="10" t="s">
        <v>13</v>
      </c>
      <c r="E7" s="10" t="s">
        <v>28</v>
      </c>
      <c r="F7" s="11">
        <v>18000</v>
      </c>
      <c r="G7" s="10">
        <v>700</v>
      </c>
      <c r="H7" s="11">
        <v>200000</v>
      </c>
      <c r="I7" s="10" t="s">
        <v>29</v>
      </c>
      <c r="J7" s="10"/>
    </row>
    <row r="8" spans="1:10" ht="15" customHeight="1" x14ac:dyDescent="0.3">
      <c r="A8" s="10" t="s">
        <v>36</v>
      </c>
      <c r="B8" s="10" t="s">
        <v>37</v>
      </c>
      <c r="C8" s="10" t="s">
        <v>35</v>
      </c>
      <c r="D8" s="10" t="s">
        <v>38</v>
      </c>
      <c r="E8" s="10" t="s">
        <v>14</v>
      </c>
      <c r="F8" s="11">
        <v>35000</v>
      </c>
      <c r="G8" s="10">
        <v>580</v>
      </c>
      <c r="H8" s="11">
        <v>300000</v>
      </c>
      <c r="I8" s="10" t="s">
        <v>39</v>
      </c>
      <c r="J8" s="10" t="s">
        <v>40</v>
      </c>
    </row>
    <row r="9" spans="1:10" ht="15" customHeight="1" x14ac:dyDescent="0.3">
      <c r="A9" s="10" t="s">
        <v>41</v>
      </c>
      <c r="B9" s="10" t="s">
        <v>42</v>
      </c>
      <c r="C9" s="10" t="s">
        <v>43</v>
      </c>
      <c r="D9" s="10" t="s">
        <v>44</v>
      </c>
      <c r="E9" s="10" t="s">
        <v>14</v>
      </c>
      <c r="F9" s="11">
        <v>18000</v>
      </c>
      <c r="G9" s="10" t="s">
        <v>45</v>
      </c>
      <c r="H9" s="11">
        <v>300000</v>
      </c>
      <c r="I9" s="10" t="s">
        <v>39</v>
      </c>
      <c r="J9" s="10" t="s">
        <v>46</v>
      </c>
    </row>
    <row r="10" spans="1:10" ht="15" customHeight="1" x14ac:dyDescent="0.3">
      <c r="A10" s="10" t="s">
        <v>47</v>
      </c>
      <c r="B10" s="10" t="s">
        <v>48</v>
      </c>
      <c r="C10" s="10" t="s">
        <v>35</v>
      </c>
      <c r="D10" s="10" t="s">
        <v>27</v>
      </c>
      <c r="E10" s="10" t="s">
        <v>14</v>
      </c>
      <c r="F10" s="11">
        <v>35000</v>
      </c>
      <c r="G10" s="10">
        <v>670</v>
      </c>
      <c r="H10" s="11">
        <v>75000</v>
      </c>
      <c r="I10" s="10" t="s">
        <v>49</v>
      </c>
      <c r="J10" s="10" t="s">
        <v>50</v>
      </c>
    </row>
    <row r="11" spans="1:10" ht="15" customHeight="1" x14ac:dyDescent="0.3">
      <c r="A11" s="10" t="s">
        <v>51</v>
      </c>
      <c r="B11" s="10" t="s">
        <v>52</v>
      </c>
      <c r="C11" s="10" t="s">
        <v>53</v>
      </c>
      <c r="D11" s="10" t="s">
        <v>27</v>
      </c>
      <c r="E11" s="10" t="s">
        <v>28</v>
      </c>
      <c r="F11" s="11">
        <v>65000</v>
      </c>
      <c r="G11" s="10">
        <v>800</v>
      </c>
      <c r="H11" s="11">
        <v>250000</v>
      </c>
      <c r="I11" s="10" t="s">
        <v>15</v>
      </c>
      <c r="J11" s="10"/>
    </row>
    <row r="12" spans="1:10" ht="15" customHeight="1" x14ac:dyDescent="0.3">
      <c r="A12" s="10" t="s">
        <v>54</v>
      </c>
      <c r="B12" s="10" t="s">
        <v>55</v>
      </c>
      <c r="C12" s="10" t="s">
        <v>43</v>
      </c>
      <c r="D12" s="10" t="s">
        <v>27</v>
      </c>
      <c r="E12" s="10" t="s">
        <v>14</v>
      </c>
      <c r="F12" s="11">
        <v>40000</v>
      </c>
      <c r="G12" s="10">
        <v>720</v>
      </c>
      <c r="H12" s="11">
        <v>250000</v>
      </c>
      <c r="I12" s="10" t="s">
        <v>56</v>
      </c>
      <c r="J12" s="10"/>
    </row>
    <row r="13" spans="1:10" ht="15" customHeight="1" x14ac:dyDescent="0.3">
      <c r="A13" s="10" t="s">
        <v>57</v>
      </c>
      <c r="B13" s="10" t="s">
        <v>58</v>
      </c>
      <c r="C13" s="10" t="s">
        <v>43</v>
      </c>
      <c r="D13" s="10" t="s">
        <v>27</v>
      </c>
      <c r="E13" s="10" t="s">
        <v>28</v>
      </c>
      <c r="F13" s="11">
        <v>15000</v>
      </c>
      <c r="G13" s="10">
        <v>650</v>
      </c>
      <c r="H13" s="11">
        <v>300000</v>
      </c>
      <c r="I13" s="10" t="s">
        <v>29</v>
      </c>
      <c r="J13" s="10"/>
    </row>
    <row r="14" spans="1:10" ht="15" customHeight="1" x14ac:dyDescent="0.3">
      <c r="A14" s="10" t="s">
        <v>59</v>
      </c>
      <c r="B14" s="10" t="s">
        <v>17</v>
      </c>
      <c r="C14" s="10" t="s">
        <v>26</v>
      </c>
      <c r="D14" s="10" t="s">
        <v>60</v>
      </c>
      <c r="E14" s="10" t="s">
        <v>14</v>
      </c>
      <c r="F14" s="11">
        <v>25000</v>
      </c>
      <c r="G14" s="10">
        <v>780</v>
      </c>
      <c r="H14" s="11">
        <v>100000</v>
      </c>
      <c r="I14" s="10" t="s">
        <v>29</v>
      </c>
      <c r="J14" s="10"/>
    </row>
    <row r="15" spans="1:10" ht="15" customHeight="1" x14ac:dyDescent="0.3">
      <c r="A15" s="10" t="s">
        <v>61</v>
      </c>
      <c r="B15" s="10" t="s">
        <v>62</v>
      </c>
      <c r="C15" s="10" t="s">
        <v>12</v>
      </c>
      <c r="D15" s="10" t="s">
        <v>38</v>
      </c>
      <c r="E15" s="10" t="s">
        <v>28</v>
      </c>
      <c r="F15" s="11">
        <v>65000</v>
      </c>
      <c r="G15" s="10">
        <v>740</v>
      </c>
      <c r="H15" s="11">
        <v>75000</v>
      </c>
      <c r="I15" s="10" t="s">
        <v>15</v>
      </c>
      <c r="J15" s="10"/>
    </row>
    <row r="16" spans="1:10" ht="15" customHeight="1" x14ac:dyDescent="0.3">
      <c r="A16" s="10" t="s">
        <v>63</v>
      </c>
      <c r="B16" s="10" t="s">
        <v>48</v>
      </c>
      <c r="C16" s="10" t="s">
        <v>12</v>
      </c>
      <c r="D16" s="10" t="s">
        <v>18</v>
      </c>
      <c r="E16" s="10" t="s">
        <v>28</v>
      </c>
      <c r="F16" s="11">
        <v>55000</v>
      </c>
      <c r="G16" s="10">
        <v>720</v>
      </c>
      <c r="H16" s="11">
        <v>150000</v>
      </c>
      <c r="I16" s="10" t="s">
        <v>29</v>
      </c>
      <c r="J16" s="10"/>
    </row>
    <row r="17" spans="1:10" ht="15" customHeight="1" x14ac:dyDescent="0.3">
      <c r="A17" s="10" t="s">
        <v>64</v>
      </c>
      <c r="B17" s="10" t="s">
        <v>37</v>
      </c>
      <c r="C17" s="10" t="s">
        <v>22</v>
      </c>
      <c r="D17" s="10" t="s">
        <v>65</v>
      </c>
      <c r="E17" s="10" t="s">
        <v>28</v>
      </c>
      <c r="F17" s="11">
        <v>18000</v>
      </c>
      <c r="G17" s="10" t="s">
        <v>45</v>
      </c>
      <c r="H17" s="11">
        <v>75000</v>
      </c>
      <c r="I17" s="10" t="s">
        <v>29</v>
      </c>
      <c r="J17" s="10"/>
    </row>
    <row r="18" spans="1:10" ht="15" customHeight="1" x14ac:dyDescent="0.3">
      <c r="A18" s="10" t="s">
        <v>66</v>
      </c>
      <c r="B18" s="10" t="s">
        <v>34</v>
      </c>
      <c r="C18" s="10" t="s">
        <v>22</v>
      </c>
      <c r="D18" s="10" t="s">
        <v>32</v>
      </c>
      <c r="E18" s="10" t="s">
        <v>14</v>
      </c>
      <c r="F18" s="11">
        <v>35000</v>
      </c>
      <c r="G18" s="10">
        <v>720</v>
      </c>
      <c r="H18" s="11">
        <v>200000</v>
      </c>
      <c r="I18" s="10" t="s">
        <v>39</v>
      </c>
      <c r="J18" s="10" t="s">
        <v>67</v>
      </c>
    </row>
    <row r="19" spans="1:10" ht="15" customHeight="1" x14ac:dyDescent="0.3">
      <c r="A19" s="10" t="s">
        <v>68</v>
      </c>
      <c r="B19" s="10" t="s">
        <v>69</v>
      </c>
      <c r="C19" s="10" t="s">
        <v>43</v>
      </c>
      <c r="D19" s="10" t="s">
        <v>70</v>
      </c>
      <c r="E19" s="10" t="s">
        <v>14</v>
      </c>
      <c r="F19" s="11">
        <v>65000</v>
      </c>
      <c r="G19" s="10">
        <v>760</v>
      </c>
      <c r="H19" s="11">
        <v>300000</v>
      </c>
      <c r="I19" s="10" t="s">
        <v>29</v>
      </c>
      <c r="J19" s="10"/>
    </row>
    <row r="20" spans="1:10" ht="15" customHeight="1" x14ac:dyDescent="0.3">
      <c r="A20" s="10" t="s">
        <v>71</v>
      </c>
      <c r="B20" s="10" t="s">
        <v>72</v>
      </c>
      <c r="C20" s="10" t="s">
        <v>53</v>
      </c>
      <c r="D20" s="10" t="s">
        <v>13</v>
      </c>
      <c r="E20" s="10" t="s">
        <v>28</v>
      </c>
      <c r="F20" s="11">
        <v>35000</v>
      </c>
      <c r="G20" s="10">
        <v>610</v>
      </c>
      <c r="H20" s="11">
        <v>250000</v>
      </c>
      <c r="I20" s="10" t="s">
        <v>49</v>
      </c>
      <c r="J20" s="10" t="s">
        <v>40</v>
      </c>
    </row>
    <row r="21" spans="1:10" ht="15" customHeight="1" x14ac:dyDescent="0.3">
      <c r="A21" s="10" t="s">
        <v>73</v>
      </c>
      <c r="B21" s="10" t="s">
        <v>74</v>
      </c>
      <c r="C21" s="10" t="s">
        <v>53</v>
      </c>
      <c r="D21" s="10" t="s">
        <v>18</v>
      </c>
      <c r="E21" s="10" t="s">
        <v>14</v>
      </c>
      <c r="F21" s="11">
        <v>45000</v>
      </c>
      <c r="G21" s="10">
        <v>580</v>
      </c>
      <c r="H21" s="11">
        <v>100000</v>
      </c>
      <c r="I21" s="10" t="s">
        <v>29</v>
      </c>
      <c r="J21" s="10"/>
    </row>
    <row r="22" spans="1:10" ht="15" customHeight="1" x14ac:dyDescent="0.3">
      <c r="A22" s="10" t="s">
        <v>75</v>
      </c>
      <c r="B22" s="10" t="s">
        <v>76</v>
      </c>
      <c r="C22" s="10" t="s">
        <v>12</v>
      </c>
      <c r="D22" s="10" t="s">
        <v>18</v>
      </c>
      <c r="E22" s="10" t="s">
        <v>14</v>
      </c>
      <c r="F22" s="11">
        <v>22000</v>
      </c>
      <c r="G22" s="10">
        <v>700</v>
      </c>
      <c r="H22" s="11">
        <v>200000</v>
      </c>
      <c r="I22" s="10" t="s">
        <v>29</v>
      </c>
      <c r="J22" s="10"/>
    </row>
    <row r="23" spans="1:10" ht="15" customHeight="1" x14ac:dyDescent="0.3">
      <c r="A23" s="10" t="s">
        <v>77</v>
      </c>
      <c r="B23" s="10" t="s">
        <v>74</v>
      </c>
      <c r="C23" s="10" t="s">
        <v>43</v>
      </c>
      <c r="D23" s="10" t="s">
        <v>70</v>
      </c>
      <c r="E23" s="10" t="s">
        <v>28</v>
      </c>
      <c r="F23" s="11">
        <v>40000</v>
      </c>
      <c r="G23" s="10" t="s">
        <v>45</v>
      </c>
      <c r="H23" s="11">
        <v>100000</v>
      </c>
      <c r="I23" s="10" t="s">
        <v>15</v>
      </c>
      <c r="J23" s="10"/>
    </row>
    <row r="24" spans="1:10" ht="15" customHeight="1" x14ac:dyDescent="0.3">
      <c r="A24" s="10" t="s">
        <v>78</v>
      </c>
      <c r="B24" s="10" t="s">
        <v>72</v>
      </c>
      <c r="C24" s="10" t="s">
        <v>53</v>
      </c>
      <c r="D24" s="10" t="s">
        <v>27</v>
      </c>
      <c r="E24" s="10" t="s">
        <v>14</v>
      </c>
      <c r="F24" s="11">
        <v>25000</v>
      </c>
      <c r="G24" s="10">
        <v>780</v>
      </c>
      <c r="H24" s="11">
        <v>50000</v>
      </c>
      <c r="I24" s="10" t="s">
        <v>29</v>
      </c>
      <c r="J24" s="10"/>
    </row>
    <row r="25" spans="1:10" ht="15" customHeight="1" x14ac:dyDescent="0.3">
      <c r="A25" s="10" t="s">
        <v>79</v>
      </c>
      <c r="B25" s="10" t="s">
        <v>52</v>
      </c>
      <c r="C25" s="10" t="s">
        <v>26</v>
      </c>
      <c r="D25" s="10" t="s">
        <v>13</v>
      </c>
      <c r="E25" s="10" t="s">
        <v>14</v>
      </c>
      <c r="F25" s="11">
        <v>22000</v>
      </c>
      <c r="G25" s="10">
        <v>800</v>
      </c>
      <c r="H25" s="11">
        <v>200000</v>
      </c>
      <c r="I25" s="10" t="s">
        <v>49</v>
      </c>
      <c r="J25" s="10" t="s">
        <v>46</v>
      </c>
    </row>
    <row r="26" spans="1:10" ht="15" customHeight="1" x14ac:dyDescent="0.3">
      <c r="A26" s="10" t="s">
        <v>80</v>
      </c>
      <c r="B26" s="10" t="s">
        <v>81</v>
      </c>
      <c r="C26" s="10" t="s">
        <v>53</v>
      </c>
      <c r="D26" s="10" t="s">
        <v>18</v>
      </c>
      <c r="E26" s="10" t="s">
        <v>28</v>
      </c>
      <c r="F26" s="11">
        <v>25000</v>
      </c>
      <c r="G26" s="10">
        <v>760</v>
      </c>
      <c r="H26" s="11">
        <v>250000</v>
      </c>
      <c r="I26" s="10" t="s">
        <v>29</v>
      </c>
      <c r="J26" s="10"/>
    </row>
    <row r="27" spans="1:10" ht="15" customHeight="1" x14ac:dyDescent="0.3">
      <c r="A27" s="10" t="s">
        <v>82</v>
      </c>
      <c r="B27" s="10" t="s">
        <v>83</v>
      </c>
      <c r="C27" s="10" t="s">
        <v>12</v>
      </c>
      <c r="D27" s="10" t="s">
        <v>60</v>
      </c>
      <c r="E27" s="10" t="s">
        <v>28</v>
      </c>
      <c r="F27" s="11">
        <v>65000</v>
      </c>
      <c r="G27" s="10">
        <v>800</v>
      </c>
      <c r="H27" s="11">
        <v>200000</v>
      </c>
      <c r="I27" s="10" t="s">
        <v>84</v>
      </c>
      <c r="J27" s="10"/>
    </row>
    <row r="28" spans="1:10" ht="15" customHeight="1" x14ac:dyDescent="0.3">
      <c r="A28" s="10" t="s">
        <v>85</v>
      </c>
      <c r="B28" s="10" t="s">
        <v>86</v>
      </c>
      <c r="C28" s="10" t="s">
        <v>35</v>
      </c>
      <c r="D28" s="10" t="s">
        <v>27</v>
      </c>
      <c r="E28" s="10" t="s">
        <v>14</v>
      </c>
      <c r="F28" s="11">
        <v>18000</v>
      </c>
      <c r="G28" s="10">
        <v>700</v>
      </c>
      <c r="H28" s="11">
        <v>200000</v>
      </c>
      <c r="I28" s="10" t="s">
        <v>19</v>
      </c>
      <c r="J28" s="10"/>
    </row>
    <row r="29" spans="1:10" ht="15" customHeight="1" x14ac:dyDescent="0.3">
      <c r="A29" s="10" t="s">
        <v>87</v>
      </c>
      <c r="B29" s="10" t="s">
        <v>88</v>
      </c>
      <c r="C29" s="10" t="s">
        <v>43</v>
      </c>
      <c r="D29" s="10" t="s">
        <v>27</v>
      </c>
      <c r="E29" s="10" t="s">
        <v>14</v>
      </c>
      <c r="F29" s="11">
        <v>18000</v>
      </c>
      <c r="G29" s="10">
        <v>800</v>
      </c>
      <c r="H29" s="11">
        <v>50000</v>
      </c>
      <c r="I29" s="10" t="s">
        <v>15</v>
      </c>
      <c r="J29" s="10"/>
    </row>
    <row r="30" spans="1:10" ht="15" customHeight="1" x14ac:dyDescent="0.3">
      <c r="A30" s="10" t="s">
        <v>89</v>
      </c>
      <c r="B30" s="10" t="s">
        <v>72</v>
      </c>
      <c r="C30" s="10" t="s">
        <v>53</v>
      </c>
      <c r="D30" s="10" t="s">
        <v>13</v>
      </c>
      <c r="E30" s="10" t="s">
        <v>14</v>
      </c>
      <c r="F30" s="11">
        <v>28000</v>
      </c>
      <c r="G30" s="10">
        <v>800</v>
      </c>
      <c r="H30" s="11">
        <v>75000</v>
      </c>
      <c r="I30" s="10" t="s">
        <v>49</v>
      </c>
      <c r="J30" s="10" t="s">
        <v>90</v>
      </c>
    </row>
    <row r="31" spans="1:10" ht="15" customHeight="1" x14ac:dyDescent="0.3">
      <c r="A31" s="10" t="s">
        <v>91</v>
      </c>
      <c r="B31" s="10" t="s">
        <v>11</v>
      </c>
      <c r="C31" s="10" t="s">
        <v>43</v>
      </c>
      <c r="D31" s="10" t="s">
        <v>92</v>
      </c>
      <c r="E31" s="10" t="s">
        <v>28</v>
      </c>
      <c r="F31" s="11">
        <v>25000</v>
      </c>
      <c r="G31" s="10">
        <v>740</v>
      </c>
      <c r="H31" s="11">
        <v>75000</v>
      </c>
      <c r="I31" s="10" t="s">
        <v>29</v>
      </c>
      <c r="J31" s="10"/>
    </row>
    <row r="32" spans="1:10" ht="15" customHeight="1" x14ac:dyDescent="0.3">
      <c r="A32" s="10" t="s">
        <v>93</v>
      </c>
      <c r="B32" s="10" t="s">
        <v>94</v>
      </c>
      <c r="C32" s="10" t="s">
        <v>35</v>
      </c>
      <c r="D32" s="10" t="s">
        <v>32</v>
      </c>
      <c r="E32" s="10" t="s">
        <v>28</v>
      </c>
      <c r="F32" s="11">
        <v>35000</v>
      </c>
      <c r="G32" s="10">
        <v>720</v>
      </c>
      <c r="H32" s="11">
        <v>50000</v>
      </c>
      <c r="I32" s="10" t="s">
        <v>49</v>
      </c>
      <c r="J32" s="10" t="s">
        <v>95</v>
      </c>
    </row>
    <row r="33" spans="1:10" ht="15" customHeight="1" x14ac:dyDescent="0.3">
      <c r="A33" s="10" t="s">
        <v>96</v>
      </c>
      <c r="B33" s="10" t="s">
        <v>97</v>
      </c>
      <c r="C33" s="10" t="s">
        <v>12</v>
      </c>
      <c r="D33" s="10" t="s">
        <v>44</v>
      </c>
      <c r="E33" s="10" t="s">
        <v>14</v>
      </c>
      <c r="F33" s="11">
        <v>25000</v>
      </c>
      <c r="G33" s="10">
        <v>650</v>
      </c>
      <c r="H33" s="11">
        <v>150000</v>
      </c>
      <c r="I33" s="10" t="s">
        <v>15</v>
      </c>
      <c r="J33" s="10"/>
    </row>
    <row r="34" spans="1:10" ht="15" customHeight="1" x14ac:dyDescent="0.3">
      <c r="A34" s="10" t="s">
        <v>98</v>
      </c>
      <c r="B34" s="10" t="s">
        <v>83</v>
      </c>
      <c r="C34" s="10" t="s">
        <v>26</v>
      </c>
      <c r="D34" s="10" t="s">
        <v>65</v>
      </c>
      <c r="E34" s="10" t="s">
        <v>28</v>
      </c>
      <c r="F34" s="11">
        <v>40000</v>
      </c>
      <c r="G34" s="10">
        <v>650</v>
      </c>
      <c r="H34" s="11">
        <v>50000</v>
      </c>
      <c r="I34" s="10" t="s">
        <v>29</v>
      </c>
      <c r="J34" s="10"/>
    </row>
    <row r="35" spans="1:10" ht="15" customHeight="1" x14ac:dyDescent="0.3">
      <c r="A35" s="10" t="s">
        <v>99</v>
      </c>
      <c r="B35" s="10" t="s">
        <v>25</v>
      </c>
      <c r="C35" s="10" t="s">
        <v>43</v>
      </c>
      <c r="D35" s="10" t="s">
        <v>13</v>
      </c>
      <c r="E35" s="10" t="s">
        <v>14</v>
      </c>
      <c r="F35" s="11">
        <v>65000</v>
      </c>
      <c r="G35" s="10">
        <v>760</v>
      </c>
      <c r="H35" s="11">
        <v>50000</v>
      </c>
      <c r="I35" s="10" t="s">
        <v>29</v>
      </c>
      <c r="J35" s="10"/>
    </row>
    <row r="36" spans="1:10" ht="15" customHeight="1" x14ac:dyDescent="0.3">
      <c r="A36" s="10" t="s">
        <v>100</v>
      </c>
      <c r="B36" s="10" t="s">
        <v>101</v>
      </c>
      <c r="C36" s="10" t="s">
        <v>22</v>
      </c>
      <c r="D36" s="10" t="s">
        <v>65</v>
      </c>
      <c r="E36" s="10" t="s">
        <v>28</v>
      </c>
      <c r="F36" s="11">
        <v>40000</v>
      </c>
      <c r="G36" s="10">
        <v>740</v>
      </c>
      <c r="H36" s="11">
        <v>150000</v>
      </c>
      <c r="I36" s="10" t="s">
        <v>15</v>
      </c>
      <c r="J36" s="10"/>
    </row>
    <row r="37" spans="1:10" ht="15" customHeight="1" x14ac:dyDescent="0.3">
      <c r="A37" s="10" t="s">
        <v>102</v>
      </c>
      <c r="B37" s="10" t="s">
        <v>103</v>
      </c>
      <c r="C37" s="10" t="s">
        <v>22</v>
      </c>
      <c r="D37" s="10" t="s">
        <v>32</v>
      </c>
      <c r="E37" s="10" t="s">
        <v>14</v>
      </c>
      <c r="F37" s="11">
        <v>35000</v>
      </c>
      <c r="G37" s="10">
        <v>670</v>
      </c>
      <c r="H37" s="11">
        <v>300000</v>
      </c>
      <c r="I37" s="10" t="s">
        <v>29</v>
      </c>
      <c r="J37" s="10"/>
    </row>
    <row r="38" spans="1:10" ht="15" customHeight="1" x14ac:dyDescent="0.3">
      <c r="A38" s="10" t="s">
        <v>104</v>
      </c>
      <c r="B38" s="10" t="s">
        <v>105</v>
      </c>
      <c r="C38" s="10" t="s">
        <v>53</v>
      </c>
      <c r="D38" s="10" t="s">
        <v>32</v>
      </c>
      <c r="E38" s="10" t="s">
        <v>28</v>
      </c>
      <c r="F38" s="11">
        <v>22000</v>
      </c>
      <c r="G38" s="10">
        <v>650</v>
      </c>
      <c r="H38" s="11">
        <v>50000</v>
      </c>
      <c r="I38" s="10" t="s">
        <v>56</v>
      </c>
      <c r="J38" s="10"/>
    </row>
    <row r="39" spans="1:10" ht="15" customHeight="1" x14ac:dyDescent="0.3">
      <c r="A39" s="10" t="s">
        <v>106</v>
      </c>
      <c r="B39" s="10" t="s">
        <v>107</v>
      </c>
      <c r="C39" s="10" t="s">
        <v>12</v>
      </c>
      <c r="D39" s="10" t="s">
        <v>18</v>
      </c>
      <c r="E39" s="10" t="s">
        <v>14</v>
      </c>
      <c r="F39" s="11">
        <v>32000</v>
      </c>
      <c r="G39" s="10" t="s">
        <v>45</v>
      </c>
      <c r="H39" s="11">
        <v>150000</v>
      </c>
      <c r="I39" s="10" t="s">
        <v>15</v>
      </c>
      <c r="J39" s="10"/>
    </row>
    <row r="40" spans="1:10" ht="15" customHeight="1" x14ac:dyDescent="0.3">
      <c r="A40" s="10" t="s">
        <v>108</v>
      </c>
      <c r="B40" s="10" t="s">
        <v>109</v>
      </c>
      <c r="C40" s="10" t="s">
        <v>43</v>
      </c>
      <c r="D40" s="10" t="s">
        <v>65</v>
      </c>
      <c r="E40" s="10" t="s">
        <v>14</v>
      </c>
      <c r="F40" s="11">
        <v>45000</v>
      </c>
      <c r="G40" s="10">
        <v>580</v>
      </c>
      <c r="H40" s="11">
        <v>50000</v>
      </c>
      <c r="I40" s="10" t="s">
        <v>29</v>
      </c>
      <c r="J40" s="10"/>
    </row>
    <row r="41" spans="1:10" ht="15" customHeight="1" x14ac:dyDescent="0.3">
      <c r="A41" s="10" t="s">
        <v>110</v>
      </c>
      <c r="B41" s="10" t="s">
        <v>88</v>
      </c>
      <c r="C41" s="10" t="s">
        <v>35</v>
      </c>
      <c r="D41" s="10" t="s">
        <v>27</v>
      </c>
      <c r="E41" s="10" t="s">
        <v>28</v>
      </c>
      <c r="F41" s="11">
        <v>18000</v>
      </c>
      <c r="G41" s="10">
        <v>780</v>
      </c>
      <c r="H41" s="11">
        <v>200000</v>
      </c>
      <c r="I41" s="10" t="s">
        <v>56</v>
      </c>
      <c r="J41" s="10"/>
    </row>
    <row r="42" spans="1:10" ht="15" customHeight="1" x14ac:dyDescent="0.3">
      <c r="A42" s="10" t="s">
        <v>111</v>
      </c>
      <c r="B42" s="10" t="s">
        <v>17</v>
      </c>
      <c r="C42" s="10" t="s">
        <v>43</v>
      </c>
      <c r="D42" s="10" t="s">
        <v>13</v>
      </c>
      <c r="E42" s="10" t="s">
        <v>28</v>
      </c>
      <c r="F42" s="11">
        <v>65000</v>
      </c>
      <c r="G42" s="10">
        <v>780</v>
      </c>
      <c r="H42" s="11">
        <v>100000</v>
      </c>
      <c r="I42" s="10" t="s">
        <v>39</v>
      </c>
      <c r="J42" s="10" t="s">
        <v>28</v>
      </c>
    </row>
    <row r="43" spans="1:10" ht="15" customHeight="1" x14ac:dyDescent="0.3">
      <c r="A43" s="10" t="s">
        <v>112</v>
      </c>
      <c r="B43" s="10" t="s">
        <v>113</v>
      </c>
      <c r="C43" s="10" t="s">
        <v>12</v>
      </c>
      <c r="D43" s="10" t="s">
        <v>44</v>
      </c>
      <c r="E43" s="10" t="s">
        <v>14</v>
      </c>
      <c r="F43" s="11">
        <v>28000</v>
      </c>
      <c r="G43" s="10">
        <v>720</v>
      </c>
      <c r="H43" s="11">
        <v>250000</v>
      </c>
      <c r="I43" s="10" t="s">
        <v>15</v>
      </c>
      <c r="J43" s="10"/>
    </row>
    <row r="44" spans="1:10" ht="15" customHeight="1" x14ac:dyDescent="0.3">
      <c r="A44" s="10" t="s">
        <v>114</v>
      </c>
      <c r="B44" s="10" t="s">
        <v>11</v>
      </c>
      <c r="C44" s="10" t="s">
        <v>26</v>
      </c>
      <c r="D44" s="10" t="s">
        <v>44</v>
      </c>
      <c r="E44" s="10" t="s">
        <v>14</v>
      </c>
      <c r="F44" s="11">
        <v>15000</v>
      </c>
      <c r="G44" s="10">
        <v>740</v>
      </c>
      <c r="H44" s="11">
        <v>200000</v>
      </c>
      <c r="I44" s="10" t="s">
        <v>39</v>
      </c>
      <c r="J44" s="10" t="s">
        <v>46</v>
      </c>
    </row>
    <row r="45" spans="1:10" ht="15" customHeight="1" x14ac:dyDescent="0.3">
      <c r="A45" s="10" t="s">
        <v>115</v>
      </c>
      <c r="B45" s="10" t="s">
        <v>116</v>
      </c>
      <c r="C45" s="10" t="s">
        <v>35</v>
      </c>
      <c r="D45" s="10" t="s">
        <v>18</v>
      </c>
      <c r="E45" s="10" t="s">
        <v>14</v>
      </c>
      <c r="F45" s="11">
        <v>45000</v>
      </c>
      <c r="G45" s="10">
        <v>670</v>
      </c>
      <c r="H45" s="11">
        <v>100000</v>
      </c>
      <c r="I45" s="10" t="s">
        <v>15</v>
      </c>
      <c r="J45" s="10"/>
    </row>
    <row r="46" spans="1:10" ht="15" customHeight="1" x14ac:dyDescent="0.3">
      <c r="A46" s="10" t="s">
        <v>117</v>
      </c>
      <c r="B46" s="10" t="s">
        <v>113</v>
      </c>
      <c r="C46" s="10" t="s">
        <v>22</v>
      </c>
      <c r="D46" s="10" t="s">
        <v>44</v>
      </c>
      <c r="E46" s="10" t="s">
        <v>28</v>
      </c>
      <c r="F46" s="11">
        <v>22000</v>
      </c>
      <c r="G46" s="10">
        <v>740</v>
      </c>
      <c r="H46" s="11">
        <v>250000</v>
      </c>
      <c r="I46" s="10" t="s">
        <v>29</v>
      </c>
      <c r="J46" s="10"/>
    </row>
    <row r="47" spans="1:10" ht="15" customHeight="1" x14ac:dyDescent="0.3">
      <c r="A47" s="10" t="s">
        <v>118</v>
      </c>
      <c r="B47" s="10" t="s">
        <v>11</v>
      </c>
      <c r="C47" s="10" t="s">
        <v>43</v>
      </c>
      <c r="D47" s="10" t="s">
        <v>18</v>
      </c>
      <c r="E47" s="10" t="s">
        <v>14</v>
      </c>
      <c r="F47" s="11">
        <v>65000</v>
      </c>
      <c r="G47" s="10">
        <v>760</v>
      </c>
      <c r="H47" s="11">
        <v>250000</v>
      </c>
      <c r="I47" s="10" t="s">
        <v>56</v>
      </c>
      <c r="J47" s="10"/>
    </row>
    <row r="48" spans="1:10" ht="15" customHeight="1" x14ac:dyDescent="0.3">
      <c r="A48" s="10" t="s">
        <v>119</v>
      </c>
      <c r="B48" s="10" t="s">
        <v>109</v>
      </c>
      <c r="C48" s="10" t="s">
        <v>22</v>
      </c>
      <c r="D48" s="10" t="s">
        <v>60</v>
      </c>
      <c r="E48" s="10" t="s">
        <v>14</v>
      </c>
      <c r="F48" s="11">
        <v>18000</v>
      </c>
      <c r="G48" s="10">
        <v>760</v>
      </c>
      <c r="H48" s="11">
        <v>100000</v>
      </c>
      <c r="I48" s="10" t="s">
        <v>15</v>
      </c>
      <c r="J48" s="10"/>
    </row>
    <row r="49" spans="1:10" ht="15" customHeight="1" x14ac:dyDescent="0.3">
      <c r="A49" s="10" t="s">
        <v>120</v>
      </c>
      <c r="B49" s="10" t="s">
        <v>121</v>
      </c>
      <c r="C49" s="10" t="s">
        <v>22</v>
      </c>
      <c r="D49" s="10" t="s">
        <v>44</v>
      </c>
      <c r="E49" s="10" t="s">
        <v>14</v>
      </c>
      <c r="F49" s="11">
        <v>65000</v>
      </c>
      <c r="G49" s="10">
        <v>800</v>
      </c>
      <c r="H49" s="11">
        <v>200000</v>
      </c>
      <c r="I49" s="10" t="s">
        <v>29</v>
      </c>
      <c r="J49" s="10"/>
    </row>
    <row r="50" spans="1:10" ht="15" customHeight="1" x14ac:dyDescent="0.3">
      <c r="A50" s="10" t="s">
        <v>122</v>
      </c>
      <c r="B50" s="10" t="s">
        <v>123</v>
      </c>
      <c r="C50" s="10" t="s">
        <v>53</v>
      </c>
      <c r="D50" s="10" t="s">
        <v>70</v>
      </c>
      <c r="E50" s="10" t="s">
        <v>14</v>
      </c>
      <c r="F50" s="11">
        <v>65000</v>
      </c>
      <c r="G50" s="10">
        <v>720</v>
      </c>
      <c r="H50" s="11">
        <v>50000</v>
      </c>
      <c r="I50" s="10" t="s">
        <v>29</v>
      </c>
      <c r="J50" s="10"/>
    </row>
    <row r="51" spans="1:10" ht="15" customHeight="1" x14ac:dyDescent="0.3">
      <c r="A51" s="10" t="s">
        <v>124</v>
      </c>
      <c r="B51" s="10" t="s">
        <v>125</v>
      </c>
      <c r="C51" s="10" t="s">
        <v>53</v>
      </c>
      <c r="D51" s="10" t="s">
        <v>65</v>
      </c>
      <c r="E51" s="10" t="s">
        <v>28</v>
      </c>
      <c r="F51" s="11">
        <v>22000</v>
      </c>
      <c r="G51" s="10">
        <v>740</v>
      </c>
      <c r="H51" s="11">
        <v>150000</v>
      </c>
      <c r="I51" s="10" t="s">
        <v>39</v>
      </c>
      <c r="J51" s="10" t="s">
        <v>46</v>
      </c>
    </row>
    <row r="52" spans="1:10" ht="15" customHeight="1" x14ac:dyDescent="0.3">
      <c r="A52" s="10" t="s">
        <v>126</v>
      </c>
      <c r="B52" s="10" t="s">
        <v>105</v>
      </c>
      <c r="C52" s="10" t="s">
        <v>35</v>
      </c>
      <c r="D52" s="10" t="s">
        <v>13</v>
      </c>
      <c r="E52" s="10" t="s">
        <v>14</v>
      </c>
      <c r="F52" s="11">
        <v>22000</v>
      </c>
      <c r="G52" s="10">
        <v>760</v>
      </c>
      <c r="H52" s="11">
        <v>100000</v>
      </c>
      <c r="I52" s="10" t="s">
        <v>19</v>
      </c>
      <c r="J52" s="10"/>
    </row>
    <row r="53" spans="1:10" ht="15" customHeight="1" x14ac:dyDescent="0.3">
      <c r="A53" s="10" t="s">
        <v>127</v>
      </c>
      <c r="B53" s="10" t="s">
        <v>88</v>
      </c>
      <c r="C53" s="10" t="s">
        <v>43</v>
      </c>
      <c r="D53" s="10" t="s">
        <v>65</v>
      </c>
      <c r="E53" s="10" t="s">
        <v>28</v>
      </c>
      <c r="F53" s="11">
        <v>22000</v>
      </c>
      <c r="G53" s="10" t="s">
        <v>45</v>
      </c>
      <c r="H53" s="11">
        <v>300000</v>
      </c>
      <c r="I53" s="10" t="s">
        <v>56</v>
      </c>
      <c r="J53" s="10"/>
    </row>
    <row r="54" spans="1:10" ht="15" customHeight="1" x14ac:dyDescent="0.3">
      <c r="A54" s="10" t="s">
        <v>128</v>
      </c>
      <c r="B54" s="10" t="s">
        <v>129</v>
      </c>
      <c r="C54" s="10" t="s">
        <v>53</v>
      </c>
      <c r="D54" s="10" t="s">
        <v>27</v>
      </c>
      <c r="E54" s="10" t="s">
        <v>14</v>
      </c>
      <c r="F54" s="11">
        <v>65000</v>
      </c>
      <c r="G54" s="10">
        <v>580</v>
      </c>
      <c r="H54" s="11">
        <v>200000</v>
      </c>
      <c r="I54" s="10" t="s">
        <v>84</v>
      </c>
      <c r="J54" s="10"/>
    </row>
    <row r="55" spans="1:10" ht="15" customHeight="1" x14ac:dyDescent="0.3">
      <c r="A55" s="10" t="s">
        <v>130</v>
      </c>
      <c r="B55" s="10" t="s">
        <v>131</v>
      </c>
      <c r="C55" s="10" t="s">
        <v>43</v>
      </c>
      <c r="D55" s="10" t="s">
        <v>65</v>
      </c>
      <c r="E55" s="10" t="s">
        <v>14</v>
      </c>
      <c r="F55" s="11">
        <v>22000</v>
      </c>
      <c r="G55" s="10">
        <v>610</v>
      </c>
      <c r="H55" s="11">
        <v>50000</v>
      </c>
      <c r="I55" s="10" t="s">
        <v>29</v>
      </c>
      <c r="J55" s="10"/>
    </row>
    <row r="56" spans="1:10" ht="15" customHeight="1" x14ac:dyDescent="0.3">
      <c r="A56" s="10" t="s">
        <v>132</v>
      </c>
      <c r="B56" s="10" t="s">
        <v>55</v>
      </c>
      <c r="C56" s="10" t="s">
        <v>12</v>
      </c>
      <c r="D56" s="10" t="s">
        <v>44</v>
      </c>
      <c r="E56" s="10" t="s">
        <v>28</v>
      </c>
      <c r="F56" s="11">
        <v>65000</v>
      </c>
      <c r="G56" s="10">
        <v>650</v>
      </c>
      <c r="H56" s="11">
        <v>300000</v>
      </c>
      <c r="I56" s="10" t="s">
        <v>56</v>
      </c>
      <c r="J56" s="10"/>
    </row>
    <row r="57" spans="1:10" ht="15" customHeight="1" x14ac:dyDescent="0.3">
      <c r="A57" s="10" t="s">
        <v>133</v>
      </c>
      <c r="B57" s="10" t="s">
        <v>134</v>
      </c>
      <c r="C57" s="10" t="s">
        <v>35</v>
      </c>
      <c r="D57" s="10" t="s">
        <v>32</v>
      </c>
      <c r="E57" s="10" t="s">
        <v>14</v>
      </c>
      <c r="F57" s="11">
        <v>40000</v>
      </c>
      <c r="G57" s="10">
        <v>650</v>
      </c>
      <c r="H57" s="11">
        <v>150000</v>
      </c>
      <c r="I57" s="10" t="s">
        <v>15</v>
      </c>
      <c r="J57" s="10"/>
    </row>
    <row r="58" spans="1:10" ht="15" customHeight="1" x14ac:dyDescent="0.3">
      <c r="A58" s="10" t="s">
        <v>135</v>
      </c>
      <c r="B58" s="10" t="s">
        <v>136</v>
      </c>
      <c r="C58" s="10" t="s">
        <v>53</v>
      </c>
      <c r="D58" s="10" t="s">
        <v>27</v>
      </c>
      <c r="E58" s="10" t="s">
        <v>14</v>
      </c>
      <c r="F58" s="11">
        <v>15000</v>
      </c>
      <c r="G58" s="10">
        <v>800</v>
      </c>
      <c r="H58" s="11">
        <v>100000</v>
      </c>
      <c r="I58" s="10" t="s">
        <v>15</v>
      </c>
      <c r="J58" s="10"/>
    </row>
    <row r="59" spans="1:10" ht="15" customHeight="1" x14ac:dyDescent="0.3">
      <c r="A59" s="10" t="s">
        <v>137</v>
      </c>
      <c r="B59" s="10" t="s">
        <v>21</v>
      </c>
      <c r="C59" s="10" t="s">
        <v>35</v>
      </c>
      <c r="D59" s="10" t="s">
        <v>60</v>
      </c>
      <c r="E59" s="10" t="s">
        <v>28</v>
      </c>
      <c r="F59" s="11">
        <v>65000</v>
      </c>
      <c r="G59" s="10">
        <v>760</v>
      </c>
      <c r="H59" s="11">
        <v>300000</v>
      </c>
      <c r="I59" s="10" t="s">
        <v>84</v>
      </c>
      <c r="J59" s="10"/>
    </row>
    <row r="60" spans="1:10" ht="15" customHeight="1" x14ac:dyDescent="0.3">
      <c r="A60" s="10" t="s">
        <v>138</v>
      </c>
      <c r="B60" s="10" t="s">
        <v>88</v>
      </c>
      <c r="C60" s="10" t="s">
        <v>53</v>
      </c>
      <c r="D60" s="10" t="s">
        <v>70</v>
      </c>
      <c r="E60" s="10" t="s">
        <v>14</v>
      </c>
      <c r="F60" s="11">
        <v>28000</v>
      </c>
      <c r="G60" s="10">
        <v>610</v>
      </c>
      <c r="H60" s="11">
        <v>100000</v>
      </c>
      <c r="I60" s="10" t="s">
        <v>39</v>
      </c>
      <c r="J60" s="10" t="s">
        <v>40</v>
      </c>
    </row>
    <row r="61" spans="1:10" ht="15" customHeight="1" x14ac:dyDescent="0.3">
      <c r="A61" s="10" t="s">
        <v>139</v>
      </c>
      <c r="B61" s="10" t="s">
        <v>140</v>
      </c>
      <c r="C61" s="10" t="s">
        <v>35</v>
      </c>
      <c r="D61" s="10" t="s">
        <v>92</v>
      </c>
      <c r="E61" s="10" t="s">
        <v>28</v>
      </c>
      <c r="F61" s="11">
        <v>32000</v>
      </c>
      <c r="G61" s="10">
        <v>700</v>
      </c>
      <c r="H61" s="11">
        <v>200000</v>
      </c>
      <c r="I61" s="10" t="s">
        <v>84</v>
      </c>
      <c r="J61" s="10"/>
    </row>
    <row r="62" spans="1:10" ht="15" customHeight="1" x14ac:dyDescent="0.3">
      <c r="A62" s="10" t="s">
        <v>141</v>
      </c>
      <c r="B62" s="10" t="s">
        <v>142</v>
      </c>
      <c r="C62" s="10" t="s">
        <v>26</v>
      </c>
      <c r="D62" s="10" t="s">
        <v>92</v>
      </c>
      <c r="E62" s="10" t="s">
        <v>14</v>
      </c>
      <c r="F62" s="11">
        <v>28000</v>
      </c>
      <c r="G62" s="10" t="s">
        <v>45</v>
      </c>
      <c r="H62" s="11">
        <v>50000</v>
      </c>
      <c r="I62" s="10" t="s">
        <v>23</v>
      </c>
      <c r="J62" s="10"/>
    </row>
    <row r="63" spans="1:10" ht="15" customHeight="1" x14ac:dyDescent="0.3">
      <c r="A63" s="10" t="s">
        <v>143</v>
      </c>
      <c r="B63" s="10" t="s">
        <v>144</v>
      </c>
      <c r="C63" s="10" t="s">
        <v>43</v>
      </c>
      <c r="D63" s="10" t="s">
        <v>27</v>
      </c>
      <c r="E63" s="10" t="s">
        <v>28</v>
      </c>
      <c r="F63" s="11">
        <v>35000</v>
      </c>
      <c r="G63" s="10">
        <v>580</v>
      </c>
      <c r="H63" s="11">
        <v>100000</v>
      </c>
      <c r="I63" s="10" t="s">
        <v>29</v>
      </c>
      <c r="J63" s="10"/>
    </row>
    <row r="64" spans="1:10" ht="15" customHeight="1" x14ac:dyDescent="0.3">
      <c r="A64" s="10" t="s">
        <v>145</v>
      </c>
      <c r="B64" s="10" t="s">
        <v>42</v>
      </c>
      <c r="C64" s="10" t="s">
        <v>53</v>
      </c>
      <c r="D64" s="10" t="s">
        <v>13</v>
      </c>
      <c r="E64" s="10" t="s">
        <v>28</v>
      </c>
      <c r="F64" s="11">
        <v>45000</v>
      </c>
      <c r="G64" s="10">
        <v>670</v>
      </c>
      <c r="H64" s="11">
        <v>250000</v>
      </c>
      <c r="I64" s="10" t="s">
        <v>39</v>
      </c>
      <c r="J64" s="10" t="s">
        <v>28</v>
      </c>
    </row>
    <row r="65" spans="1:10" ht="15" customHeight="1" x14ac:dyDescent="0.3">
      <c r="A65" s="10" t="s">
        <v>146</v>
      </c>
      <c r="B65" s="10" t="s">
        <v>147</v>
      </c>
      <c r="C65" s="10" t="s">
        <v>43</v>
      </c>
      <c r="D65" s="10" t="s">
        <v>65</v>
      </c>
      <c r="E65" s="10" t="s">
        <v>14</v>
      </c>
      <c r="F65" s="11">
        <v>35000</v>
      </c>
      <c r="G65" s="10">
        <v>800</v>
      </c>
      <c r="H65" s="11">
        <v>250000</v>
      </c>
      <c r="I65" s="10" t="s">
        <v>29</v>
      </c>
      <c r="J65" s="10"/>
    </row>
    <row r="66" spans="1:10" ht="15" customHeight="1" x14ac:dyDescent="0.3">
      <c r="A66" s="10" t="s">
        <v>148</v>
      </c>
      <c r="B66" s="10" t="s">
        <v>42</v>
      </c>
      <c r="C66" s="10" t="s">
        <v>22</v>
      </c>
      <c r="D66" s="10" t="s">
        <v>92</v>
      </c>
      <c r="E66" s="10" t="s">
        <v>28</v>
      </c>
      <c r="F66" s="11">
        <v>35000</v>
      </c>
      <c r="G66" s="10">
        <v>760</v>
      </c>
      <c r="H66" s="11">
        <v>100000</v>
      </c>
      <c r="I66" s="10" t="s">
        <v>29</v>
      </c>
      <c r="J66" s="10"/>
    </row>
    <row r="67" spans="1:10" ht="15" customHeight="1" x14ac:dyDescent="0.3">
      <c r="A67" s="10" t="s">
        <v>149</v>
      </c>
      <c r="B67" s="10" t="s">
        <v>107</v>
      </c>
      <c r="C67" s="10" t="s">
        <v>22</v>
      </c>
      <c r="D67" s="10" t="s">
        <v>32</v>
      </c>
      <c r="E67" s="10" t="s">
        <v>28</v>
      </c>
      <c r="F67" s="11">
        <v>40000</v>
      </c>
      <c r="G67" s="10">
        <v>740</v>
      </c>
      <c r="H67" s="11">
        <v>75000</v>
      </c>
      <c r="I67" s="10" t="s">
        <v>84</v>
      </c>
      <c r="J67" s="10"/>
    </row>
    <row r="68" spans="1:10" ht="15" customHeight="1" x14ac:dyDescent="0.3">
      <c r="A68" s="10" t="s">
        <v>150</v>
      </c>
      <c r="B68" s="10" t="s">
        <v>151</v>
      </c>
      <c r="C68" s="10" t="s">
        <v>26</v>
      </c>
      <c r="D68" s="10" t="s">
        <v>65</v>
      </c>
      <c r="E68" s="10" t="s">
        <v>14</v>
      </c>
      <c r="F68" s="11">
        <v>28000</v>
      </c>
      <c r="G68" s="10">
        <v>760</v>
      </c>
      <c r="H68" s="11">
        <v>100000</v>
      </c>
      <c r="I68" s="10" t="s">
        <v>39</v>
      </c>
      <c r="J68" s="10" t="s">
        <v>90</v>
      </c>
    </row>
    <row r="69" spans="1:10" ht="15" customHeight="1" x14ac:dyDescent="0.3">
      <c r="A69" s="10" t="s">
        <v>152</v>
      </c>
      <c r="B69" s="10" t="s">
        <v>153</v>
      </c>
      <c r="C69" s="10" t="s">
        <v>22</v>
      </c>
      <c r="D69" s="10" t="s">
        <v>60</v>
      </c>
      <c r="E69" s="10" t="s">
        <v>14</v>
      </c>
      <c r="F69" s="11">
        <v>25000</v>
      </c>
      <c r="G69" s="10">
        <v>610</v>
      </c>
      <c r="H69" s="11">
        <v>75000</v>
      </c>
      <c r="I69" s="10" t="s">
        <v>19</v>
      </c>
      <c r="J69" s="10"/>
    </row>
    <row r="70" spans="1:10" ht="15" customHeight="1" x14ac:dyDescent="0.3">
      <c r="A70" s="10" t="s">
        <v>154</v>
      </c>
      <c r="B70" s="10" t="s">
        <v>94</v>
      </c>
      <c r="C70" s="10" t="s">
        <v>43</v>
      </c>
      <c r="D70" s="10" t="s">
        <v>13</v>
      </c>
      <c r="E70" s="10" t="s">
        <v>28</v>
      </c>
      <c r="F70" s="11">
        <v>35000</v>
      </c>
      <c r="G70" s="10">
        <v>800</v>
      </c>
      <c r="H70" s="11">
        <v>150000</v>
      </c>
      <c r="I70" s="10" t="s">
        <v>39</v>
      </c>
      <c r="J70" s="10" t="s">
        <v>67</v>
      </c>
    </row>
    <row r="71" spans="1:10" ht="15" customHeight="1" x14ac:dyDescent="0.3">
      <c r="A71" s="10" t="s">
        <v>155</v>
      </c>
      <c r="B71" s="10" t="s">
        <v>55</v>
      </c>
      <c r="C71" s="10" t="s">
        <v>22</v>
      </c>
      <c r="D71" s="10" t="s">
        <v>65</v>
      </c>
      <c r="E71" s="10" t="s">
        <v>14</v>
      </c>
      <c r="F71" s="11">
        <v>18000</v>
      </c>
      <c r="G71" s="10">
        <v>720</v>
      </c>
      <c r="H71" s="11">
        <v>300000</v>
      </c>
      <c r="I71" s="10" t="s">
        <v>15</v>
      </c>
      <c r="J71" s="10"/>
    </row>
    <row r="72" spans="1:10" ht="15" customHeight="1" x14ac:dyDescent="0.3">
      <c r="A72" s="10" t="s">
        <v>156</v>
      </c>
      <c r="B72" s="10" t="s">
        <v>103</v>
      </c>
      <c r="C72" s="10" t="s">
        <v>43</v>
      </c>
      <c r="D72" s="10" t="s">
        <v>38</v>
      </c>
      <c r="E72" s="10" t="s">
        <v>14</v>
      </c>
      <c r="F72" s="11">
        <v>45000</v>
      </c>
      <c r="G72" s="10">
        <v>650</v>
      </c>
      <c r="H72" s="11">
        <v>50000</v>
      </c>
      <c r="I72" s="10" t="s">
        <v>29</v>
      </c>
      <c r="J72" s="10"/>
    </row>
    <row r="73" spans="1:10" ht="15" customHeight="1" x14ac:dyDescent="0.3">
      <c r="A73" s="10" t="s">
        <v>157</v>
      </c>
      <c r="B73" s="10" t="s">
        <v>158</v>
      </c>
      <c r="C73" s="10" t="s">
        <v>22</v>
      </c>
      <c r="D73" s="10" t="s">
        <v>38</v>
      </c>
      <c r="E73" s="10" t="s">
        <v>28</v>
      </c>
      <c r="F73" s="11">
        <v>40000</v>
      </c>
      <c r="G73" s="10">
        <v>780</v>
      </c>
      <c r="H73" s="11">
        <v>200000</v>
      </c>
      <c r="I73" s="10" t="s">
        <v>29</v>
      </c>
      <c r="J73" s="10"/>
    </row>
    <row r="74" spans="1:10" ht="15" customHeight="1" x14ac:dyDescent="0.3">
      <c r="A74" s="10" t="s">
        <v>159</v>
      </c>
      <c r="B74" s="10" t="s">
        <v>74</v>
      </c>
      <c r="C74" s="10" t="s">
        <v>43</v>
      </c>
      <c r="D74" s="10" t="s">
        <v>38</v>
      </c>
      <c r="E74" s="10" t="s">
        <v>14</v>
      </c>
      <c r="F74" s="11">
        <v>40000</v>
      </c>
      <c r="G74" s="10">
        <v>740</v>
      </c>
      <c r="H74" s="11">
        <v>75000</v>
      </c>
      <c r="I74" s="10" t="s">
        <v>56</v>
      </c>
      <c r="J74" s="10"/>
    </row>
    <row r="75" spans="1:10" ht="15" customHeight="1" x14ac:dyDescent="0.3">
      <c r="A75" s="10" t="s">
        <v>160</v>
      </c>
      <c r="B75" s="10" t="s">
        <v>161</v>
      </c>
      <c r="C75" s="10" t="s">
        <v>12</v>
      </c>
      <c r="D75" s="10" t="s">
        <v>60</v>
      </c>
      <c r="E75" s="10" t="s">
        <v>28</v>
      </c>
      <c r="F75" s="11">
        <v>65000</v>
      </c>
      <c r="G75" s="10">
        <v>650</v>
      </c>
      <c r="H75" s="11">
        <v>50000</v>
      </c>
      <c r="I75" s="10" t="s">
        <v>56</v>
      </c>
      <c r="J75" s="10"/>
    </row>
    <row r="76" spans="1:10" ht="15" customHeight="1" x14ac:dyDescent="0.3">
      <c r="A76" s="10" t="s">
        <v>162</v>
      </c>
      <c r="B76" s="10" t="s">
        <v>97</v>
      </c>
      <c r="C76" s="10" t="s">
        <v>53</v>
      </c>
      <c r="D76" s="10" t="s">
        <v>27</v>
      </c>
      <c r="E76" s="10" t="s">
        <v>28</v>
      </c>
      <c r="F76" s="11">
        <v>32000</v>
      </c>
      <c r="G76" s="10">
        <v>700</v>
      </c>
      <c r="H76" s="11">
        <v>50000</v>
      </c>
      <c r="I76" s="10" t="s">
        <v>29</v>
      </c>
      <c r="J76" s="10"/>
    </row>
    <row r="77" spans="1:10" ht="15" customHeight="1" x14ac:dyDescent="0.3">
      <c r="A77" s="10" t="s">
        <v>163</v>
      </c>
      <c r="B77" s="10" t="s">
        <v>31</v>
      </c>
      <c r="C77" s="10" t="s">
        <v>22</v>
      </c>
      <c r="D77" s="10" t="s">
        <v>27</v>
      </c>
      <c r="E77" s="10" t="s">
        <v>28</v>
      </c>
      <c r="F77" s="11">
        <v>22000</v>
      </c>
      <c r="G77" s="10">
        <v>650</v>
      </c>
      <c r="H77" s="11">
        <v>150000</v>
      </c>
      <c r="I77" s="10" t="s">
        <v>15</v>
      </c>
      <c r="J77" s="10"/>
    </row>
    <row r="78" spans="1:10" ht="15" customHeight="1" x14ac:dyDescent="0.3">
      <c r="A78" s="10" t="s">
        <v>164</v>
      </c>
      <c r="B78" s="10" t="s">
        <v>76</v>
      </c>
      <c r="C78" s="10" t="s">
        <v>43</v>
      </c>
      <c r="D78" s="10" t="s">
        <v>38</v>
      </c>
      <c r="E78" s="10" t="s">
        <v>28</v>
      </c>
      <c r="F78" s="11">
        <v>15000</v>
      </c>
      <c r="G78" s="10">
        <v>650</v>
      </c>
      <c r="H78" s="11">
        <v>150000</v>
      </c>
      <c r="I78" s="10" t="s">
        <v>29</v>
      </c>
      <c r="J78" s="10"/>
    </row>
    <row r="79" spans="1:10" ht="15" customHeight="1" x14ac:dyDescent="0.3">
      <c r="A79" s="10" t="s">
        <v>165</v>
      </c>
      <c r="B79" s="10" t="s">
        <v>25</v>
      </c>
      <c r="C79" s="10" t="s">
        <v>43</v>
      </c>
      <c r="D79" s="10" t="s">
        <v>70</v>
      </c>
      <c r="E79" s="10" t="s">
        <v>28</v>
      </c>
      <c r="F79" s="11">
        <v>40000</v>
      </c>
      <c r="G79" s="10" t="s">
        <v>45</v>
      </c>
      <c r="H79" s="11">
        <v>100000</v>
      </c>
      <c r="I79" s="10" t="s">
        <v>29</v>
      </c>
      <c r="J79" s="10"/>
    </row>
    <row r="80" spans="1:10" ht="15" customHeight="1" x14ac:dyDescent="0.3">
      <c r="A80" s="10" t="s">
        <v>166</v>
      </c>
      <c r="B80" s="10" t="s">
        <v>167</v>
      </c>
      <c r="C80" s="10" t="s">
        <v>26</v>
      </c>
      <c r="D80" s="10" t="s">
        <v>32</v>
      </c>
      <c r="E80" s="10" t="s">
        <v>14</v>
      </c>
      <c r="F80" s="11">
        <v>40000</v>
      </c>
      <c r="G80" s="10">
        <v>650</v>
      </c>
      <c r="H80" s="11">
        <v>150000</v>
      </c>
      <c r="I80" s="10" t="s">
        <v>56</v>
      </c>
      <c r="J80" s="10"/>
    </row>
    <row r="81" spans="1:10" ht="15" customHeight="1" x14ac:dyDescent="0.3">
      <c r="A81" s="10" t="s">
        <v>168</v>
      </c>
      <c r="B81" s="10" t="s">
        <v>21</v>
      </c>
      <c r="C81" s="10" t="s">
        <v>26</v>
      </c>
      <c r="D81" s="10" t="s">
        <v>44</v>
      </c>
      <c r="E81" s="10" t="s">
        <v>28</v>
      </c>
      <c r="F81" s="11">
        <v>22000</v>
      </c>
      <c r="G81" s="10">
        <v>740</v>
      </c>
      <c r="H81" s="11">
        <v>200000</v>
      </c>
      <c r="I81" s="10" t="s">
        <v>29</v>
      </c>
      <c r="J81" s="10"/>
    </row>
    <row r="82" spans="1:10" ht="15" customHeight="1" x14ac:dyDescent="0.3">
      <c r="A82" s="10" t="s">
        <v>169</v>
      </c>
      <c r="B82" s="10" t="s">
        <v>103</v>
      </c>
      <c r="C82" s="10" t="s">
        <v>35</v>
      </c>
      <c r="D82" s="10" t="s">
        <v>32</v>
      </c>
      <c r="E82" s="10" t="s">
        <v>14</v>
      </c>
      <c r="F82" s="11">
        <v>18000</v>
      </c>
      <c r="G82" s="10">
        <v>800</v>
      </c>
      <c r="H82" s="11">
        <v>300000</v>
      </c>
      <c r="I82" s="10" t="s">
        <v>84</v>
      </c>
      <c r="J82" s="10"/>
    </row>
    <row r="83" spans="1:10" ht="15" customHeight="1" x14ac:dyDescent="0.3">
      <c r="A83" s="10" t="s">
        <v>170</v>
      </c>
      <c r="B83" s="10" t="s">
        <v>31</v>
      </c>
      <c r="C83" s="10" t="s">
        <v>22</v>
      </c>
      <c r="D83" s="10" t="s">
        <v>70</v>
      </c>
      <c r="E83" s="10" t="s">
        <v>28</v>
      </c>
      <c r="F83" s="11">
        <v>35000</v>
      </c>
      <c r="G83" s="10">
        <v>700</v>
      </c>
      <c r="H83" s="11">
        <v>100000</v>
      </c>
      <c r="I83" s="10" t="s">
        <v>15</v>
      </c>
      <c r="J83" s="10"/>
    </row>
    <row r="84" spans="1:10" ht="15" customHeight="1" x14ac:dyDescent="0.3">
      <c r="A84" s="10" t="s">
        <v>171</v>
      </c>
      <c r="B84" s="10" t="s">
        <v>21</v>
      </c>
      <c r="C84" s="10" t="s">
        <v>26</v>
      </c>
      <c r="D84" s="10" t="s">
        <v>60</v>
      </c>
      <c r="E84" s="10" t="s">
        <v>28</v>
      </c>
      <c r="F84" s="11">
        <v>28000</v>
      </c>
      <c r="G84" s="10">
        <v>580</v>
      </c>
      <c r="H84" s="11">
        <v>250000</v>
      </c>
      <c r="I84" s="10" t="s">
        <v>49</v>
      </c>
      <c r="J84" s="10" t="s">
        <v>40</v>
      </c>
    </row>
    <row r="85" spans="1:10" ht="15" customHeight="1" x14ac:dyDescent="0.3">
      <c r="A85" s="10" t="s">
        <v>172</v>
      </c>
      <c r="B85" s="10" t="s">
        <v>88</v>
      </c>
      <c r="C85" s="10" t="s">
        <v>35</v>
      </c>
      <c r="D85" s="10" t="s">
        <v>44</v>
      </c>
      <c r="E85" s="10" t="s">
        <v>14</v>
      </c>
      <c r="F85" s="11">
        <v>65000</v>
      </c>
      <c r="G85" s="10">
        <v>580</v>
      </c>
      <c r="H85" s="11">
        <v>250000</v>
      </c>
      <c r="I85" s="10" t="s">
        <v>29</v>
      </c>
      <c r="J85" s="10"/>
    </row>
    <row r="86" spans="1:10" ht="15" customHeight="1" x14ac:dyDescent="0.3">
      <c r="A86" s="10" t="s">
        <v>173</v>
      </c>
      <c r="B86" s="10" t="s">
        <v>153</v>
      </c>
      <c r="C86" s="10" t="s">
        <v>35</v>
      </c>
      <c r="D86" s="10" t="s">
        <v>27</v>
      </c>
      <c r="E86" s="10" t="s">
        <v>14</v>
      </c>
      <c r="F86" s="11">
        <v>15000</v>
      </c>
      <c r="G86" s="10">
        <v>780</v>
      </c>
      <c r="H86" s="11">
        <v>75000</v>
      </c>
      <c r="I86" s="10" t="s">
        <v>15</v>
      </c>
      <c r="J86" s="10"/>
    </row>
    <row r="87" spans="1:10" ht="15" customHeight="1" x14ac:dyDescent="0.3">
      <c r="A87" s="10" t="s">
        <v>174</v>
      </c>
      <c r="B87" s="10" t="s">
        <v>109</v>
      </c>
      <c r="C87" s="10" t="s">
        <v>12</v>
      </c>
      <c r="D87" s="10" t="s">
        <v>13</v>
      </c>
      <c r="E87" s="10" t="s">
        <v>14</v>
      </c>
      <c r="F87" s="11">
        <v>40000</v>
      </c>
      <c r="G87" s="10">
        <v>670</v>
      </c>
      <c r="H87" s="11">
        <v>75000</v>
      </c>
      <c r="I87" s="10" t="s">
        <v>29</v>
      </c>
      <c r="J87" s="10"/>
    </row>
    <row r="88" spans="1:10" ht="15" customHeight="1" x14ac:dyDescent="0.3">
      <c r="A88" s="10" t="s">
        <v>175</v>
      </c>
      <c r="B88" s="10" t="s">
        <v>176</v>
      </c>
      <c r="C88" s="10" t="s">
        <v>43</v>
      </c>
      <c r="D88" s="10" t="s">
        <v>13</v>
      </c>
      <c r="E88" s="10" t="s">
        <v>14</v>
      </c>
      <c r="F88" s="11">
        <v>28000</v>
      </c>
      <c r="G88" s="10">
        <v>580</v>
      </c>
      <c r="H88" s="11">
        <v>100000</v>
      </c>
      <c r="I88" s="10" t="s">
        <v>39</v>
      </c>
      <c r="J88" s="10" t="s">
        <v>40</v>
      </c>
    </row>
    <row r="89" spans="1:10" ht="15" customHeight="1" x14ac:dyDescent="0.3">
      <c r="A89" s="10" t="s">
        <v>177</v>
      </c>
      <c r="B89" s="10" t="s">
        <v>37</v>
      </c>
      <c r="C89" s="10" t="s">
        <v>12</v>
      </c>
      <c r="D89" s="10" t="s">
        <v>32</v>
      </c>
      <c r="E89" s="10" t="s">
        <v>28</v>
      </c>
      <c r="F89" s="11">
        <v>25000</v>
      </c>
      <c r="G89" s="10">
        <v>580</v>
      </c>
      <c r="H89" s="11">
        <v>300000</v>
      </c>
      <c r="I89" s="10" t="s">
        <v>39</v>
      </c>
      <c r="J89" s="10" t="s">
        <v>40</v>
      </c>
    </row>
    <row r="90" spans="1:10" ht="15" customHeight="1" x14ac:dyDescent="0.3">
      <c r="A90" s="10" t="s">
        <v>178</v>
      </c>
      <c r="B90" s="10" t="s">
        <v>176</v>
      </c>
      <c r="C90" s="10" t="s">
        <v>22</v>
      </c>
      <c r="D90" s="10" t="s">
        <v>13</v>
      </c>
      <c r="E90" s="10" t="s">
        <v>28</v>
      </c>
      <c r="F90" s="11">
        <v>65000</v>
      </c>
      <c r="G90" s="10">
        <v>780</v>
      </c>
      <c r="H90" s="11">
        <v>300000</v>
      </c>
      <c r="I90" s="10" t="s">
        <v>29</v>
      </c>
      <c r="J90" s="10"/>
    </row>
    <row r="91" spans="1:10" ht="15" customHeight="1" x14ac:dyDescent="0.3">
      <c r="A91" s="10" t="s">
        <v>179</v>
      </c>
      <c r="B91" s="10" t="s">
        <v>31</v>
      </c>
      <c r="C91" s="10" t="s">
        <v>35</v>
      </c>
      <c r="D91" s="10" t="s">
        <v>44</v>
      </c>
      <c r="E91" s="10" t="s">
        <v>28</v>
      </c>
      <c r="F91" s="11">
        <v>65000</v>
      </c>
      <c r="G91" s="10">
        <v>700</v>
      </c>
      <c r="H91" s="11">
        <v>250000</v>
      </c>
      <c r="I91" s="10" t="s">
        <v>15</v>
      </c>
      <c r="J91" s="10"/>
    </row>
    <row r="92" spans="1:10" ht="15" customHeight="1" x14ac:dyDescent="0.3">
      <c r="A92" s="10" t="s">
        <v>180</v>
      </c>
      <c r="B92" s="10" t="s">
        <v>74</v>
      </c>
      <c r="C92" s="10" t="s">
        <v>35</v>
      </c>
      <c r="D92" s="10" t="s">
        <v>32</v>
      </c>
      <c r="E92" s="10" t="s">
        <v>28</v>
      </c>
      <c r="F92" s="11">
        <v>18000</v>
      </c>
      <c r="G92" s="10">
        <v>720</v>
      </c>
      <c r="H92" s="11">
        <v>250000</v>
      </c>
      <c r="I92" s="10" t="s">
        <v>181</v>
      </c>
      <c r="J92" s="10"/>
    </row>
    <row r="93" spans="1:10" ht="15" customHeight="1" x14ac:dyDescent="0.3">
      <c r="A93" s="10" t="s">
        <v>182</v>
      </c>
      <c r="B93" s="10" t="s">
        <v>144</v>
      </c>
      <c r="C93" s="10" t="s">
        <v>26</v>
      </c>
      <c r="D93" s="10" t="s">
        <v>65</v>
      </c>
      <c r="E93" s="10" t="s">
        <v>28</v>
      </c>
      <c r="F93" s="11">
        <v>22000</v>
      </c>
      <c r="G93" s="10">
        <v>760</v>
      </c>
      <c r="H93" s="11">
        <v>100000</v>
      </c>
      <c r="I93" s="10" t="s">
        <v>181</v>
      </c>
      <c r="J93" s="10"/>
    </row>
    <row r="94" spans="1:10" ht="15" customHeight="1" x14ac:dyDescent="0.3">
      <c r="A94" s="10" t="s">
        <v>183</v>
      </c>
      <c r="B94" s="10" t="s">
        <v>62</v>
      </c>
      <c r="C94" s="10" t="s">
        <v>43</v>
      </c>
      <c r="D94" s="10" t="s">
        <v>38</v>
      </c>
      <c r="E94" s="10" t="s">
        <v>28</v>
      </c>
      <c r="F94" s="11">
        <v>35000</v>
      </c>
      <c r="G94" s="10">
        <v>780</v>
      </c>
      <c r="H94" s="11">
        <v>300000</v>
      </c>
      <c r="I94" s="10" t="s">
        <v>56</v>
      </c>
      <c r="J94" s="10"/>
    </row>
    <row r="95" spans="1:10" ht="15" customHeight="1" x14ac:dyDescent="0.3">
      <c r="A95" s="10" t="s">
        <v>184</v>
      </c>
      <c r="B95" s="10" t="s">
        <v>121</v>
      </c>
      <c r="C95" s="10" t="s">
        <v>35</v>
      </c>
      <c r="D95" s="10" t="s">
        <v>60</v>
      </c>
      <c r="E95" s="10" t="s">
        <v>28</v>
      </c>
      <c r="F95" s="11">
        <v>25000</v>
      </c>
      <c r="G95" s="10">
        <v>740</v>
      </c>
      <c r="H95" s="11">
        <v>50000</v>
      </c>
      <c r="I95" s="10" t="s">
        <v>39</v>
      </c>
      <c r="J95" s="10" t="s">
        <v>50</v>
      </c>
    </row>
    <row r="96" spans="1:10" ht="15" customHeight="1" x14ac:dyDescent="0.3">
      <c r="A96" s="10" t="s">
        <v>185</v>
      </c>
      <c r="B96" s="10" t="s">
        <v>136</v>
      </c>
      <c r="C96" s="10" t="s">
        <v>53</v>
      </c>
      <c r="D96" s="10" t="s">
        <v>65</v>
      </c>
      <c r="E96" s="10" t="s">
        <v>28</v>
      </c>
      <c r="F96" s="11">
        <v>25000</v>
      </c>
      <c r="G96" s="10">
        <v>700</v>
      </c>
      <c r="H96" s="11">
        <v>100000</v>
      </c>
      <c r="I96" s="10" t="s">
        <v>29</v>
      </c>
      <c r="J96" s="10"/>
    </row>
    <row r="97" spans="1:10" ht="15" customHeight="1" x14ac:dyDescent="0.3">
      <c r="A97" s="10" t="s">
        <v>186</v>
      </c>
      <c r="B97" s="10" t="s">
        <v>129</v>
      </c>
      <c r="C97" s="10" t="s">
        <v>43</v>
      </c>
      <c r="D97" s="10" t="s">
        <v>60</v>
      </c>
      <c r="E97" s="10" t="s">
        <v>14</v>
      </c>
      <c r="F97" s="11">
        <v>45000</v>
      </c>
      <c r="G97" s="10">
        <v>650</v>
      </c>
      <c r="H97" s="11">
        <v>250000</v>
      </c>
      <c r="I97" s="10" t="s">
        <v>15</v>
      </c>
      <c r="J97" s="10"/>
    </row>
    <row r="98" spans="1:10" ht="15" customHeight="1" x14ac:dyDescent="0.3">
      <c r="A98" s="10" t="s">
        <v>187</v>
      </c>
      <c r="B98" s="10" t="s">
        <v>188</v>
      </c>
      <c r="C98" s="10" t="s">
        <v>26</v>
      </c>
      <c r="D98" s="10" t="s">
        <v>18</v>
      </c>
      <c r="E98" s="10" t="s">
        <v>14</v>
      </c>
      <c r="F98" s="11">
        <v>40000</v>
      </c>
      <c r="G98" s="10">
        <v>800</v>
      </c>
      <c r="H98" s="11">
        <v>150000</v>
      </c>
      <c r="I98" s="10" t="s">
        <v>23</v>
      </c>
      <c r="J98" s="10"/>
    </row>
    <row r="99" spans="1:10" ht="15" customHeight="1" x14ac:dyDescent="0.3">
      <c r="A99" s="10" t="s">
        <v>189</v>
      </c>
      <c r="B99" s="10" t="s">
        <v>190</v>
      </c>
      <c r="C99" s="10" t="s">
        <v>35</v>
      </c>
      <c r="D99" s="10" t="s">
        <v>13</v>
      </c>
      <c r="E99" s="10" t="s">
        <v>28</v>
      </c>
      <c r="F99" s="11">
        <v>25000</v>
      </c>
      <c r="G99" s="10">
        <v>720</v>
      </c>
      <c r="H99" s="11">
        <v>100000</v>
      </c>
      <c r="I99" s="10" t="s">
        <v>23</v>
      </c>
      <c r="J99" s="10"/>
    </row>
    <row r="100" spans="1:10" ht="15" customHeight="1" x14ac:dyDescent="0.3">
      <c r="A100" s="10" t="s">
        <v>191</v>
      </c>
      <c r="B100" s="10" t="s">
        <v>125</v>
      </c>
      <c r="C100" s="10" t="s">
        <v>43</v>
      </c>
      <c r="D100" s="10" t="s">
        <v>44</v>
      </c>
      <c r="E100" s="10" t="s">
        <v>28</v>
      </c>
      <c r="F100" s="11">
        <v>45000</v>
      </c>
      <c r="G100" s="10">
        <v>760</v>
      </c>
      <c r="H100" s="11">
        <v>250000</v>
      </c>
      <c r="I100" s="10" t="s">
        <v>56</v>
      </c>
      <c r="J100" s="10"/>
    </row>
    <row r="101" spans="1:10" ht="15" customHeight="1" x14ac:dyDescent="0.3">
      <c r="A101" s="10" t="s">
        <v>192</v>
      </c>
      <c r="B101" s="10" t="s">
        <v>72</v>
      </c>
      <c r="C101" s="10" t="s">
        <v>53</v>
      </c>
      <c r="D101" s="10" t="s">
        <v>44</v>
      </c>
      <c r="E101" s="10" t="s">
        <v>28</v>
      </c>
      <c r="F101" s="11">
        <v>28000</v>
      </c>
      <c r="G101" s="10">
        <v>670</v>
      </c>
      <c r="H101" s="11">
        <v>50000</v>
      </c>
      <c r="I101" s="10" t="s">
        <v>56</v>
      </c>
      <c r="J101" s="10"/>
    </row>
    <row r="102" spans="1:10" ht="15" customHeight="1" x14ac:dyDescent="0.3">
      <c r="A102" s="10" t="s">
        <v>193</v>
      </c>
      <c r="B102" s="10" t="s">
        <v>153</v>
      </c>
      <c r="C102" s="10" t="s">
        <v>22</v>
      </c>
      <c r="D102" s="10" t="s">
        <v>44</v>
      </c>
      <c r="E102" s="10" t="s">
        <v>14</v>
      </c>
      <c r="F102" s="11">
        <v>45000</v>
      </c>
      <c r="G102" s="10">
        <v>610</v>
      </c>
      <c r="H102" s="11">
        <v>250000</v>
      </c>
      <c r="I102" s="10" t="s">
        <v>15</v>
      </c>
      <c r="J102" s="10"/>
    </row>
    <row r="103" spans="1:10" ht="15" customHeight="1" x14ac:dyDescent="0.3">
      <c r="A103" s="10" t="s">
        <v>194</v>
      </c>
      <c r="B103" s="10" t="s">
        <v>131</v>
      </c>
      <c r="C103" s="10" t="s">
        <v>53</v>
      </c>
      <c r="D103" s="10" t="s">
        <v>92</v>
      </c>
      <c r="E103" s="10" t="s">
        <v>28</v>
      </c>
      <c r="F103" s="11">
        <v>18000</v>
      </c>
      <c r="G103" s="10">
        <v>650</v>
      </c>
      <c r="H103" s="11">
        <v>100000</v>
      </c>
      <c r="I103" s="10" t="s">
        <v>56</v>
      </c>
      <c r="J103" s="10"/>
    </row>
    <row r="104" spans="1:10" ht="15" customHeight="1" x14ac:dyDescent="0.3">
      <c r="A104" s="10" t="s">
        <v>195</v>
      </c>
      <c r="B104" s="10" t="s">
        <v>42</v>
      </c>
      <c r="C104" s="10" t="s">
        <v>53</v>
      </c>
      <c r="D104" s="10" t="s">
        <v>70</v>
      </c>
      <c r="E104" s="10" t="s">
        <v>14</v>
      </c>
      <c r="F104" s="11">
        <v>28000</v>
      </c>
      <c r="G104" s="10" t="s">
        <v>45</v>
      </c>
      <c r="H104" s="11">
        <v>200000</v>
      </c>
      <c r="I104" s="10" t="s">
        <v>181</v>
      </c>
      <c r="J104" s="10"/>
    </row>
    <row r="105" spans="1:10" ht="15" customHeight="1" x14ac:dyDescent="0.3">
      <c r="A105" s="10" t="s">
        <v>196</v>
      </c>
      <c r="B105" s="10" t="s">
        <v>153</v>
      </c>
      <c r="C105" s="10" t="s">
        <v>12</v>
      </c>
      <c r="D105" s="10" t="s">
        <v>65</v>
      </c>
      <c r="E105" s="10" t="s">
        <v>28</v>
      </c>
      <c r="F105" s="11">
        <v>18000</v>
      </c>
      <c r="G105" s="10" t="s">
        <v>45</v>
      </c>
      <c r="H105" s="11">
        <v>150000</v>
      </c>
      <c r="I105" s="10" t="s">
        <v>39</v>
      </c>
      <c r="J105" s="10" t="s">
        <v>46</v>
      </c>
    </row>
    <row r="106" spans="1:10" ht="15" customHeight="1" x14ac:dyDescent="0.3">
      <c r="A106" s="10" t="s">
        <v>197</v>
      </c>
      <c r="B106" s="10" t="s">
        <v>140</v>
      </c>
      <c r="C106" s="10" t="s">
        <v>26</v>
      </c>
      <c r="D106" s="10" t="s">
        <v>44</v>
      </c>
      <c r="E106" s="10" t="s">
        <v>14</v>
      </c>
      <c r="F106" s="11">
        <v>15000</v>
      </c>
      <c r="G106" s="10">
        <v>670</v>
      </c>
      <c r="H106" s="11">
        <v>150000</v>
      </c>
      <c r="I106" s="10" t="s">
        <v>29</v>
      </c>
      <c r="J106" s="10"/>
    </row>
    <row r="107" spans="1:10" ht="15" customHeight="1" x14ac:dyDescent="0.3">
      <c r="A107" s="10" t="s">
        <v>198</v>
      </c>
      <c r="B107" s="10" t="s">
        <v>199</v>
      </c>
      <c r="C107" s="10" t="s">
        <v>35</v>
      </c>
      <c r="D107" s="10" t="s">
        <v>32</v>
      </c>
      <c r="E107" s="10" t="s">
        <v>28</v>
      </c>
      <c r="F107" s="11">
        <v>18000</v>
      </c>
      <c r="G107" s="10">
        <v>780</v>
      </c>
      <c r="H107" s="11">
        <v>50000</v>
      </c>
      <c r="I107" s="10" t="s">
        <v>39</v>
      </c>
      <c r="J107" s="10" t="s">
        <v>46</v>
      </c>
    </row>
    <row r="108" spans="1:10" ht="15" customHeight="1" x14ac:dyDescent="0.3">
      <c r="A108" s="10" t="s">
        <v>200</v>
      </c>
      <c r="B108" s="10" t="s">
        <v>129</v>
      </c>
      <c r="C108" s="10" t="s">
        <v>22</v>
      </c>
      <c r="D108" s="10" t="s">
        <v>92</v>
      </c>
      <c r="E108" s="10" t="s">
        <v>28</v>
      </c>
      <c r="F108" s="11">
        <v>18000</v>
      </c>
      <c r="G108" s="10">
        <v>650</v>
      </c>
      <c r="H108" s="11">
        <v>300000</v>
      </c>
      <c r="I108" s="10" t="s">
        <v>15</v>
      </c>
      <c r="J108" s="10"/>
    </row>
    <row r="109" spans="1:10" ht="15" customHeight="1" x14ac:dyDescent="0.3">
      <c r="A109" s="10" t="s">
        <v>201</v>
      </c>
      <c r="B109" s="10" t="s">
        <v>105</v>
      </c>
      <c r="C109" s="10" t="s">
        <v>43</v>
      </c>
      <c r="D109" s="10" t="s">
        <v>92</v>
      </c>
      <c r="E109" s="10" t="s">
        <v>14</v>
      </c>
      <c r="F109" s="11">
        <v>45000</v>
      </c>
      <c r="G109" s="10">
        <v>720</v>
      </c>
      <c r="H109" s="11">
        <v>100000</v>
      </c>
      <c r="I109" s="10" t="s">
        <v>49</v>
      </c>
      <c r="J109" s="10" t="s">
        <v>67</v>
      </c>
    </row>
    <row r="110" spans="1:10" ht="15" customHeight="1" x14ac:dyDescent="0.3">
      <c r="A110" s="10" t="s">
        <v>202</v>
      </c>
      <c r="B110" s="10" t="s">
        <v>37</v>
      </c>
      <c r="C110" s="10" t="s">
        <v>26</v>
      </c>
      <c r="D110" s="10" t="s">
        <v>60</v>
      </c>
      <c r="E110" s="10" t="s">
        <v>14</v>
      </c>
      <c r="F110" s="11">
        <v>55000</v>
      </c>
      <c r="G110" s="10">
        <v>580</v>
      </c>
      <c r="H110" s="11">
        <v>75000</v>
      </c>
      <c r="I110" s="10" t="s">
        <v>29</v>
      </c>
      <c r="J110" s="10"/>
    </row>
    <row r="111" spans="1:10" ht="15" customHeight="1" x14ac:dyDescent="0.3">
      <c r="A111" s="10" t="s">
        <v>203</v>
      </c>
      <c r="B111" s="10" t="s">
        <v>52</v>
      </c>
      <c r="C111" s="10" t="s">
        <v>22</v>
      </c>
      <c r="D111" s="10" t="s">
        <v>60</v>
      </c>
      <c r="E111" s="10" t="s">
        <v>14</v>
      </c>
      <c r="F111" s="11">
        <v>22000</v>
      </c>
      <c r="G111" s="10">
        <v>650</v>
      </c>
      <c r="H111" s="11">
        <v>50000</v>
      </c>
      <c r="I111" s="10" t="s">
        <v>15</v>
      </c>
      <c r="J111" s="10"/>
    </row>
    <row r="112" spans="1:10" ht="15" customHeight="1" x14ac:dyDescent="0.3">
      <c r="A112" s="10" t="s">
        <v>204</v>
      </c>
      <c r="B112" s="10" t="s">
        <v>42</v>
      </c>
      <c r="C112" s="10" t="s">
        <v>35</v>
      </c>
      <c r="D112" s="10" t="s">
        <v>32</v>
      </c>
      <c r="E112" s="10" t="s">
        <v>28</v>
      </c>
      <c r="F112" s="11">
        <v>55000</v>
      </c>
      <c r="G112" s="10">
        <v>740</v>
      </c>
      <c r="H112" s="11">
        <v>75000</v>
      </c>
      <c r="I112" s="10" t="s">
        <v>56</v>
      </c>
      <c r="J112" s="10"/>
    </row>
    <row r="113" spans="1:10" ht="15" customHeight="1" x14ac:dyDescent="0.3">
      <c r="A113" s="10" t="s">
        <v>205</v>
      </c>
      <c r="B113" s="10" t="s">
        <v>188</v>
      </c>
      <c r="C113" s="10" t="s">
        <v>12</v>
      </c>
      <c r="D113" s="10" t="s">
        <v>60</v>
      </c>
      <c r="E113" s="10" t="s">
        <v>28</v>
      </c>
      <c r="F113" s="11">
        <v>18000</v>
      </c>
      <c r="G113" s="10">
        <v>800</v>
      </c>
      <c r="H113" s="11">
        <v>100000</v>
      </c>
      <c r="I113" s="10" t="s">
        <v>56</v>
      </c>
      <c r="J113" s="10"/>
    </row>
    <row r="114" spans="1:10" ht="15" customHeight="1" x14ac:dyDescent="0.3">
      <c r="A114" s="10" t="s">
        <v>206</v>
      </c>
      <c r="B114" s="10" t="s">
        <v>199</v>
      </c>
      <c r="C114" s="10" t="s">
        <v>12</v>
      </c>
      <c r="D114" s="10" t="s">
        <v>92</v>
      </c>
      <c r="E114" s="10" t="s">
        <v>14</v>
      </c>
      <c r="F114" s="11">
        <v>35000</v>
      </c>
      <c r="G114" s="10">
        <v>580</v>
      </c>
      <c r="H114" s="11">
        <v>250000</v>
      </c>
      <c r="I114" s="10" t="s">
        <v>49</v>
      </c>
      <c r="J114" s="10" t="s">
        <v>40</v>
      </c>
    </row>
    <row r="115" spans="1:10" ht="15" customHeight="1" x14ac:dyDescent="0.3">
      <c r="A115" s="10" t="s">
        <v>207</v>
      </c>
      <c r="B115" s="10" t="s">
        <v>147</v>
      </c>
      <c r="C115" s="10" t="s">
        <v>53</v>
      </c>
      <c r="D115" s="10" t="s">
        <v>65</v>
      </c>
      <c r="E115" s="10" t="s">
        <v>14</v>
      </c>
      <c r="F115" s="11">
        <v>15000</v>
      </c>
      <c r="G115" s="10">
        <v>610</v>
      </c>
      <c r="H115" s="11">
        <v>200000</v>
      </c>
      <c r="I115" s="10" t="s">
        <v>29</v>
      </c>
      <c r="J115" s="10"/>
    </row>
    <row r="116" spans="1:10" ht="15" customHeight="1" x14ac:dyDescent="0.3">
      <c r="A116" s="10" t="s">
        <v>208</v>
      </c>
      <c r="B116" s="10" t="s">
        <v>94</v>
      </c>
      <c r="C116" s="10" t="s">
        <v>43</v>
      </c>
      <c r="D116" s="10" t="s">
        <v>60</v>
      </c>
      <c r="E116" s="10" t="s">
        <v>28</v>
      </c>
      <c r="F116" s="11">
        <v>18000</v>
      </c>
      <c r="G116" s="10">
        <v>740</v>
      </c>
      <c r="H116" s="11">
        <v>250000</v>
      </c>
      <c r="I116" s="10" t="s">
        <v>23</v>
      </c>
      <c r="J116" s="10"/>
    </row>
    <row r="117" spans="1:10" ht="15" customHeight="1" x14ac:dyDescent="0.3">
      <c r="A117" s="10" t="s">
        <v>209</v>
      </c>
      <c r="B117" s="10" t="s">
        <v>147</v>
      </c>
      <c r="C117" s="10" t="s">
        <v>53</v>
      </c>
      <c r="D117" s="10" t="s">
        <v>18</v>
      </c>
      <c r="E117" s="10" t="s">
        <v>28</v>
      </c>
      <c r="F117" s="11">
        <v>40000</v>
      </c>
      <c r="G117" s="10">
        <v>580</v>
      </c>
      <c r="H117" s="11">
        <v>150000</v>
      </c>
      <c r="I117" s="10" t="s">
        <v>39</v>
      </c>
      <c r="J117" s="10" t="s">
        <v>40</v>
      </c>
    </row>
    <row r="118" spans="1:10" ht="15" customHeight="1" x14ac:dyDescent="0.3">
      <c r="A118" s="10" t="s">
        <v>210</v>
      </c>
      <c r="B118" s="10" t="s">
        <v>74</v>
      </c>
      <c r="C118" s="10" t="s">
        <v>53</v>
      </c>
      <c r="D118" s="10" t="s">
        <v>92</v>
      </c>
      <c r="E118" s="10" t="s">
        <v>28</v>
      </c>
      <c r="F118" s="11">
        <v>15000</v>
      </c>
      <c r="G118" s="10">
        <v>580</v>
      </c>
      <c r="H118" s="11">
        <v>250000</v>
      </c>
      <c r="I118" s="10" t="s">
        <v>15</v>
      </c>
      <c r="J118" s="10"/>
    </row>
    <row r="119" spans="1:10" ht="15" customHeight="1" x14ac:dyDescent="0.3">
      <c r="A119" s="10" t="s">
        <v>211</v>
      </c>
      <c r="B119" s="10" t="s">
        <v>142</v>
      </c>
      <c r="C119" s="10" t="s">
        <v>43</v>
      </c>
      <c r="D119" s="10" t="s">
        <v>92</v>
      </c>
      <c r="E119" s="10" t="s">
        <v>14</v>
      </c>
      <c r="F119" s="11">
        <v>65000</v>
      </c>
      <c r="G119" s="10">
        <v>670</v>
      </c>
      <c r="H119" s="11">
        <v>150000</v>
      </c>
      <c r="I119" s="10" t="s">
        <v>39</v>
      </c>
      <c r="J119" s="10" t="s">
        <v>212</v>
      </c>
    </row>
    <row r="120" spans="1:10" ht="15" customHeight="1" x14ac:dyDescent="0.3">
      <c r="A120" s="10" t="s">
        <v>213</v>
      </c>
      <c r="B120" s="10" t="s">
        <v>121</v>
      </c>
      <c r="C120" s="10" t="s">
        <v>12</v>
      </c>
      <c r="D120" s="10" t="s">
        <v>38</v>
      </c>
      <c r="E120" s="10" t="s">
        <v>28</v>
      </c>
      <c r="F120" s="11">
        <v>22000</v>
      </c>
      <c r="G120" s="10">
        <v>780</v>
      </c>
      <c r="H120" s="11">
        <v>300000</v>
      </c>
      <c r="I120" s="10" t="s">
        <v>84</v>
      </c>
      <c r="J120" s="10"/>
    </row>
    <row r="121" spans="1:10" ht="15" customHeight="1" x14ac:dyDescent="0.3">
      <c r="A121" s="10" t="s">
        <v>214</v>
      </c>
      <c r="B121" s="10" t="s">
        <v>52</v>
      </c>
      <c r="C121" s="10" t="s">
        <v>35</v>
      </c>
      <c r="D121" s="10" t="s">
        <v>38</v>
      </c>
      <c r="E121" s="10" t="s">
        <v>28</v>
      </c>
      <c r="F121" s="11">
        <v>35000</v>
      </c>
      <c r="G121" s="10">
        <v>700</v>
      </c>
      <c r="H121" s="11">
        <v>50000</v>
      </c>
      <c r="I121" s="10" t="s">
        <v>56</v>
      </c>
      <c r="J121" s="10"/>
    </row>
    <row r="122" spans="1:10" ht="15" customHeight="1" x14ac:dyDescent="0.3">
      <c r="A122" s="10" t="s">
        <v>215</v>
      </c>
      <c r="B122" s="10" t="s">
        <v>25</v>
      </c>
      <c r="C122" s="10" t="s">
        <v>53</v>
      </c>
      <c r="D122" s="10" t="s">
        <v>32</v>
      </c>
      <c r="E122" s="10" t="s">
        <v>28</v>
      </c>
      <c r="F122" s="11">
        <v>28000</v>
      </c>
      <c r="G122" s="10">
        <v>800</v>
      </c>
      <c r="H122" s="11">
        <v>300000</v>
      </c>
      <c r="I122" s="10" t="s">
        <v>29</v>
      </c>
      <c r="J122" s="10"/>
    </row>
    <row r="123" spans="1:10" ht="15" customHeight="1" x14ac:dyDescent="0.3">
      <c r="A123" s="10" t="s">
        <v>216</v>
      </c>
      <c r="B123" s="10" t="s">
        <v>76</v>
      </c>
      <c r="C123" s="10" t="s">
        <v>43</v>
      </c>
      <c r="D123" s="10" t="s">
        <v>70</v>
      </c>
      <c r="E123" s="10" t="s">
        <v>28</v>
      </c>
      <c r="F123" s="11">
        <v>18000</v>
      </c>
      <c r="G123" s="10">
        <v>700</v>
      </c>
      <c r="H123" s="11">
        <v>50000</v>
      </c>
      <c r="I123" s="10" t="s">
        <v>56</v>
      </c>
      <c r="J123" s="10"/>
    </row>
    <row r="124" spans="1:10" ht="15" customHeight="1" x14ac:dyDescent="0.3">
      <c r="A124" s="10" t="s">
        <v>217</v>
      </c>
      <c r="B124" s="10" t="s">
        <v>142</v>
      </c>
      <c r="C124" s="10" t="s">
        <v>26</v>
      </c>
      <c r="D124" s="10" t="s">
        <v>18</v>
      </c>
      <c r="E124" s="10" t="s">
        <v>14</v>
      </c>
      <c r="F124" s="11">
        <v>65000</v>
      </c>
      <c r="G124" s="10">
        <v>760</v>
      </c>
      <c r="H124" s="11">
        <v>75000</v>
      </c>
      <c r="I124" s="10" t="s">
        <v>49</v>
      </c>
      <c r="J124" s="10" t="s">
        <v>95</v>
      </c>
    </row>
    <row r="125" spans="1:10" ht="15" customHeight="1" x14ac:dyDescent="0.3">
      <c r="A125" s="10" t="s">
        <v>218</v>
      </c>
      <c r="B125" s="10" t="s">
        <v>136</v>
      </c>
      <c r="C125" s="10" t="s">
        <v>53</v>
      </c>
      <c r="D125" s="10" t="s">
        <v>92</v>
      </c>
      <c r="E125" s="10" t="s">
        <v>28</v>
      </c>
      <c r="F125" s="11">
        <v>65000</v>
      </c>
      <c r="G125" s="10">
        <v>740</v>
      </c>
      <c r="H125" s="11">
        <v>75000</v>
      </c>
      <c r="I125" s="10" t="s">
        <v>29</v>
      </c>
      <c r="J125" s="10"/>
    </row>
    <row r="126" spans="1:10" ht="15" customHeight="1" x14ac:dyDescent="0.3">
      <c r="A126" s="10" t="s">
        <v>219</v>
      </c>
      <c r="B126" s="10" t="s">
        <v>109</v>
      </c>
      <c r="C126" s="10" t="s">
        <v>43</v>
      </c>
      <c r="D126" s="10" t="s">
        <v>65</v>
      </c>
      <c r="E126" s="10" t="s">
        <v>28</v>
      </c>
      <c r="F126" s="11">
        <v>40000</v>
      </c>
      <c r="G126" s="10">
        <v>740</v>
      </c>
      <c r="H126" s="11">
        <v>250000</v>
      </c>
      <c r="I126" s="10" t="s">
        <v>15</v>
      </c>
      <c r="J126" s="10"/>
    </row>
    <row r="127" spans="1:10" ht="15" customHeight="1" x14ac:dyDescent="0.3">
      <c r="A127" s="10" t="s">
        <v>220</v>
      </c>
      <c r="B127" s="10" t="s">
        <v>140</v>
      </c>
      <c r="C127" s="10" t="s">
        <v>22</v>
      </c>
      <c r="D127" s="10" t="s">
        <v>65</v>
      </c>
      <c r="E127" s="10" t="s">
        <v>28</v>
      </c>
      <c r="F127" s="11">
        <v>45000</v>
      </c>
      <c r="G127" s="10" t="s">
        <v>45</v>
      </c>
      <c r="H127" s="11">
        <v>300000</v>
      </c>
      <c r="I127" s="10" t="s">
        <v>39</v>
      </c>
      <c r="J127" s="10" t="s">
        <v>28</v>
      </c>
    </row>
    <row r="128" spans="1:10" ht="15" customHeight="1" x14ac:dyDescent="0.3">
      <c r="A128" s="10" t="s">
        <v>221</v>
      </c>
      <c r="B128" s="10" t="s">
        <v>74</v>
      </c>
      <c r="C128" s="10" t="s">
        <v>26</v>
      </c>
      <c r="D128" s="10" t="s">
        <v>13</v>
      </c>
      <c r="E128" s="10" t="s">
        <v>14</v>
      </c>
      <c r="F128" s="11">
        <v>40000</v>
      </c>
      <c r="G128" s="10">
        <v>670</v>
      </c>
      <c r="H128" s="11">
        <v>150000</v>
      </c>
      <c r="I128" s="10" t="s">
        <v>49</v>
      </c>
      <c r="J128" s="10" t="s">
        <v>50</v>
      </c>
    </row>
    <row r="129" spans="1:10" ht="15" customHeight="1" x14ac:dyDescent="0.3">
      <c r="A129" s="10" t="s">
        <v>222</v>
      </c>
      <c r="B129" s="10" t="s">
        <v>109</v>
      </c>
      <c r="C129" s="10" t="s">
        <v>26</v>
      </c>
      <c r="D129" s="10" t="s">
        <v>38</v>
      </c>
      <c r="E129" s="10" t="s">
        <v>14</v>
      </c>
      <c r="F129" s="11">
        <v>40000</v>
      </c>
      <c r="G129" s="10">
        <v>760</v>
      </c>
      <c r="H129" s="11">
        <v>75000</v>
      </c>
      <c r="I129" s="10" t="s">
        <v>15</v>
      </c>
      <c r="J129" s="10"/>
    </row>
    <row r="130" spans="1:10" ht="15" customHeight="1" x14ac:dyDescent="0.3">
      <c r="A130" s="10" t="s">
        <v>223</v>
      </c>
      <c r="B130" s="10" t="s">
        <v>107</v>
      </c>
      <c r="C130" s="10" t="s">
        <v>43</v>
      </c>
      <c r="D130" s="10" t="s">
        <v>65</v>
      </c>
      <c r="E130" s="10" t="s">
        <v>14</v>
      </c>
      <c r="F130" s="11">
        <v>28000</v>
      </c>
      <c r="G130" s="10">
        <v>720</v>
      </c>
      <c r="H130" s="11">
        <v>300000</v>
      </c>
      <c r="I130" s="10" t="s">
        <v>56</v>
      </c>
      <c r="J130" s="10"/>
    </row>
    <row r="131" spans="1:10" ht="15" customHeight="1" x14ac:dyDescent="0.3">
      <c r="A131" s="10" t="s">
        <v>224</v>
      </c>
      <c r="B131" s="10" t="s">
        <v>21</v>
      </c>
      <c r="C131" s="10" t="s">
        <v>53</v>
      </c>
      <c r="D131" s="10" t="s">
        <v>70</v>
      </c>
      <c r="E131" s="10" t="s">
        <v>28</v>
      </c>
      <c r="F131" s="11">
        <v>28000</v>
      </c>
      <c r="G131" s="10">
        <v>780</v>
      </c>
      <c r="H131" s="11">
        <v>150000</v>
      </c>
      <c r="I131" s="10" t="s">
        <v>39</v>
      </c>
      <c r="J131" s="10" t="s">
        <v>212</v>
      </c>
    </row>
    <row r="132" spans="1:10" ht="15" customHeight="1" x14ac:dyDescent="0.3">
      <c r="A132" s="10" t="s">
        <v>225</v>
      </c>
      <c r="B132" s="10" t="s">
        <v>81</v>
      </c>
      <c r="C132" s="10" t="s">
        <v>26</v>
      </c>
      <c r="D132" s="10" t="s">
        <v>44</v>
      </c>
      <c r="E132" s="10" t="s">
        <v>28</v>
      </c>
      <c r="F132" s="11">
        <v>45000</v>
      </c>
      <c r="G132" s="10">
        <v>760</v>
      </c>
      <c r="H132" s="11">
        <v>100000</v>
      </c>
      <c r="I132" s="10" t="s">
        <v>84</v>
      </c>
      <c r="J132" s="10"/>
    </row>
    <row r="133" spans="1:10" ht="15" customHeight="1" x14ac:dyDescent="0.3">
      <c r="A133" s="10" t="s">
        <v>226</v>
      </c>
      <c r="B133" s="10" t="s">
        <v>153</v>
      </c>
      <c r="C133" s="10" t="s">
        <v>12</v>
      </c>
      <c r="D133" s="10" t="s">
        <v>27</v>
      </c>
      <c r="E133" s="10" t="s">
        <v>28</v>
      </c>
      <c r="F133" s="11">
        <v>25000</v>
      </c>
      <c r="G133" s="10">
        <v>720</v>
      </c>
      <c r="H133" s="11">
        <v>250000</v>
      </c>
      <c r="I133" s="10" t="s">
        <v>19</v>
      </c>
      <c r="J133" s="10"/>
    </row>
    <row r="134" spans="1:10" ht="15" customHeight="1" x14ac:dyDescent="0.3">
      <c r="A134" s="10" t="s">
        <v>227</v>
      </c>
      <c r="B134" s="10" t="s">
        <v>88</v>
      </c>
      <c r="C134" s="10" t="s">
        <v>12</v>
      </c>
      <c r="D134" s="10" t="s">
        <v>32</v>
      </c>
      <c r="E134" s="10" t="s">
        <v>28</v>
      </c>
      <c r="F134" s="11">
        <v>65000</v>
      </c>
      <c r="G134" s="10">
        <v>800</v>
      </c>
      <c r="H134" s="11">
        <v>150000</v>
      </c>
      <c r="I134" s="10" t="s">
        <v>181</v>
      </c>
      <c r="J134" s="10"/>
    </row>
    <row r="135" spans="1:10" ht="15" customHeight="1" x14ac:dyDescent="0.3">
      <c r="A135" s="10" t="s">
        <v>228</v>
      </c>
      <c r="B135" s="10" t="s">
        <v>123</v>
      </c>
      <c r="C135" s="10" t="s">
        <v>22</v>
      </c>
      <c r="D135" s="10" t="s">
        <v>18</v>
      </c>
      <c r="E135" s="10" t="s">
        <v>28</v>
      </c>
      <c r="F135" s="11">
        <v>18000</v>
      </c>
      <c r="G135" s="10">
        <v>740</v>
      </c>
      <c r="H135" s="11">
        <v>150000</v>
      </c>
      <c r="I135" s="10" t="s">
        <v>15</v>
      </c>
      <c r="J135" s="10"/>
    </row>
    <row r="136" spans="1:10" ht="15" customHeight="1" x14ac:dyDescent="0.3">
      <c r="A136" s="10" t="s">
        <v>229</v>
      </c>
      <c r="B136" s="10" t="s">
        <v>34</v>
      </c>
      <c r="C136" s="10" t="s">
        <v>12</v>
      </c>
      <c r="D136" s="10" t="s">
        <v>65</v>
      </c>
      <c r="E136" s="10" t="s">
        <v>28</v>
      </c>
      <c r="F136" s="11">
        <v>65000</v>
      </c>
      <c r="G136" s="10">
        <v>610</v>
      </c>
      <c r="H136" s="11">
        <v>300000</v>
      </c>
      <c r="I136" s="10" t="s">
        <v>15</v>
      </c>
      <c r="J136" s="10"/>
    </row>
    <row r="137" spans="1:10" ht="15" customHeight="1" x14ac:dyDescent="0.3">
      <c r="A137" s="10" t="s">
        <v>230</v>
      </c>
      <c r="B137" s="10" t="s">
        <v>231</v>
      </c>
      <c r="C137" s="10" t="s">
        <v>53</v>
      </c>
      <c r="D137" s="10" t="s">
        <v>92</v>
      </c>
      <c r="E137" s="10" t="s">
        <v>28</v>
      </c>
      <c r="F137" s="11">
        <v>65000</v>
      </c>
      <c r="G137" s="10">
        <v>580</v>
      </c>
      <c r="H137" s="11">
        <v>300000</v>
      </c>
      <c r="I137" s="10" t="s">
        <v>29</v>
      </c>
      <c r="J137" s="10"/>
    </row>
    <row r="138" spans="1:10" ht="15" customHeight="1" x14ac:dyDescent="0.3">
      <c r="A138" s="10" t="s">
        <v>232</v>
      </c>
      <c r="B138" s="10" t="s">
        <v>144</v>
      </c>
      <c r="C138" s="10" t="s">
        <v>43</v>
      </c>
      <c r="D138" s="10" t="s">
        <v>32</v>
      </c>
      <c r="E138" s="10" t="s">
        <v>28</v>
      </c>
      <c r="F138" s="11">
        <v>65000</v>
      </c>
      <c r="G138" s="10">
        <v>740</v>
      </c>
      <c r="H138" s="11">
        <v>50000</v>
      </c>
      <c r="I138" s="10" t="s">
        <v>29</v>
      </c>
      <c r="J138" s="10"/>
    </row>
    <row r="139" spans="1:10" ht="15" customHeight="1" x14ac:dyDescent="0.3">
      <c r="A139" s="10" t="s">
        <v>233</v>
      </c>
      <c r="B139" s="10" t="s">
        <v>25</v>
      </c>
      <c r="C139" s="10" t="s">
        <v>35</v>
      </c>
      <c r="D139" s="10" t="s">
        <v>27</v>
      </c>
      <c r="E139" s="10" t="s">
        <v>28</v>
      </c>
      <c r="F139" s="11">
        <v>25000</v>
      </c>
      <c r="G139" s="10">
        <v>580</v>
      </c>
      <c r="H139" s="11">
        <v>50000</v>
      </c>
      <c r="I139" s="10" t="s">
        <v>84</v>
      </c>
      <c r="J139" s="10"/>
    </row>
    <row r="140" spans="1:10" ht="15" customHeight="1" x14ac:dyDescent="0.3">
      <c r="A140" s="10" t="s">
        <v>234</v>
      </c>
      <c r="B140" s="10" t="s">
        <v>58</v>
      </c>
      <c r="C140" s="10" t="s">
        <v>12</v>
      </c>
      <c r="D140" s="10" t="s">
        <v>13</v>
      </c>
      <c r="E140" s="10" t="s">
        <v>28</v>
      </c>
      <c r="F140" s="11">
        <v>22000</v>
      </c>
      <c r="G140" s="10">
        <v>670</v>
      </c>
      <c r="H140" s="11">
        <v>50000</v>
      </c>
      <c r="I140" s="10" t="s">
        <v>29</v>
      </c>
      <c r="J140" s="10"/>
    </row>
    <row r="141" spans="1:10" ht="15" customHeight="1" x14ac:dyDescent="0.3">
      <c r="A141" s="10" t="s">
        <v>235</v>
      </c>
      <c r="B141" s="10" t="s">
        <v>129</v>
      </c>
      <c r="C141" s="10" t="s">
        <v>35</v>
      </c>
      <c r="D141" s="10" t="s">
        <v>60</v>
      </c>
      <c r="E141" s="10" t="s">
        <v>28</v>
      </c>
      <c r="F141" s="11">
        <v>32000</v>
      </c>
      <c r="G141" s="10">
        <v>720</v>
      </c>
      <c r="H141" s="11">
        <v>200000</v>
      </c>
      <c r="I141" s="10" t="s">
        <v>15</v>
      </c>
      <c r="J141" s="10"/>
    </row>
    <row r="142" spans="1:10" ht="15" customHeight="1" x14ac:dyDescent="0.3">
      <c r="A142" s="10" t="s">
        <v>236</v>
      </c>
      <c r="B142" s="10" t="s">
        <v>144</v>
      </c>
      <c r="C142" s="10" t="s">
        <v>43</v>
      </c>
      <c r="D142" s="10" t="s">
        <v>65</v>
      </c>
      <c r="E142" s="10" t="s">
        <v>14</v>
      </c>
      <c r="F142" s="11">
        <v>22000</v>
      </c>
      <c r="G142" s="10">
        <v>580</v>
      </c>
      <c r="H142" s="11">
        <v>150000</v>
      </c>
      <c r="I142" s="10" t="s">
        <v>39</v>
      </c>
      <c r="J142" s="10" t="s">
        <v>46</v>
      </c>
    </row>
    <row r="143" spans="1:10" ht="15" customHeight="1" x14ac:dyDescent="0.3">
      <c r="A143" s="10" t="s">
        <v>237</v>
      </c>
      <c r="B143" s="10" t="s">
        <v>34</v>
      </c>
      <c r="C143" s="10" t="s">
        <v>12</v>
      </c>
      <c r="D143" s="10" t="s">
        <v>27</v>
      </c>
      <c r="E143" s="10" t="s">
        <v>28</v>
      </c>
      <c r="F143" s="11">
        <v>55000</v>
      </c>
      <c r="G143" s="10">
        <v>610</v>
      </c>
      <c r="H143" s="11">
        <v>250000</v>
      </c>
      <c r="I143" s="10" t="s">
        <v>56</v>
      </c>
      <c r="J143" s="10"/>
    </row>
    <row r="144" spans="1:10" ht="15" customHeight="1" x14ac:dyDescent="0.3">
      <c r="A144" s="10" t="s">
        <v>238</v>
      </c>
      <c r="B144" s="10" t="s">
        <v>83</v>
      </c>
      <c r="C144" s="10" t="s">
        <v>26</v>
      </c>
      <c r="D144" s="10" t="s">
        <v>60</v>
      </c>
      <c r="E144" s="10" t="s">
        <v>14</v>
      </c>
      <c r="F144" s="11">
        <v>40000</v>
      </c>
      <c r="G144" s="10">
        <v>670</v>
      </c>
      <c r="H144" s="11">
        <v>50000</v>
      </c>
      <c r="I144" s="10" t="s">
        <v>39</v>
      </c>
      <c r="J144" s="10" t="s">
        <v>212</v>
      </c>
    </row>
    <row r="145" spans="1:10" ht="15" customHeight="1" x14ac:dyDescent="0.3">
      <c r="A145" s="10" t="s">
        <v>239</v>
      </c>
      <c r="B145" s="10" t="s">
        <v>113</v>
      </c>
      <c r="C145" s="10" t="s">
        <v>53</v>
      </c>
      <c r="D145" s="10" t="s">
        <v>92</v>
      </c>
      <c r="E145" s="10" t="s">
        <v>28</v>
      </c>
      <c r="F145" s="11">
        <v>65000</v>
      </c>
      <c r="G145" s="10">
        <v>720</v>
      </c>
      <c r="H145" s="11">
        <v>150000</v>
      </c>
      <c r="I145" s="10" t="s">
        <v>23</v>
      </c>
      <c r="J145" s="10"/>
    </row>
    <row r="146" spans="1:10" ht="15" customHeight="1" x14ac:dyDescent="0.3">
      <c r="A146" s="10" t="s">
        <v>240</v>
      </c>
      <c r="B146" s="10" t="s">
        <v>176</v>
      </c>
      <c r="C146" s="10" t="s">
        <v>22</v>
      </c>
      <c r="D146" s="10" t="s">
        <v>32</v>
      </c>
      <c r="E146" s="10" t="s">
        <v>28</v>
      </c>
      <c r="F146" s="11">
        <v>18000</v>
      </c>
      <c r="G146" s="10">
        <v>650</v>
      </c>
      <c r="H146" s="11">
        <v>100000</v>
      </c>
      <c r="I146" s="10" t="s">
        <v>84</v>
      </c>
      <c r="J146" s="10"/>
    </row>
    <row r="147" spans="1:10" ht="15" customHeight="1" x14ac:dyDescent="0.3">
      <c r="A147" s="10" t="s">
        <v>241</v>
      </c>
      <c r="B147" s="10" t="s">
        <v>231</v>
      </c>
      <c r="C147" s="10" t="s">
        <v>53</v>
      </c>
      <c r="D147" s="10" t="s">
        <v>60</v>
      </c>
      <c r="E147" s="10" t="s">
        <v>14</v>
      </c>
      <c r="F147" s="11">
        <v>65000</v>
      </c>
      <c r="G147" s="10">
        <v>720</v>
      </c>
      <c r="H147" s="11">
        <v>200000</v>
      </c>
      <c r="I147" s="10" t="s">
        <v>56</v>
      </c>
      <c r="J147" s="10"/>
    </row>
    <row r="148" spans="1:10" ht="15" customHeight="1" x14ac:dyDescent="0.3">
      <c r="A148" s="10" t="s">
        <v>242</v>
      </c>
      <c r="B148" s="10" t="s">
        <v>81</v>
      </c>
      <c r="C148" s="10" t="s">
        <v>12</v>
      </c>
      <c r="D148" s="10" t="s">
        <v>70</v>
      </c>
      <c r="E148" s="10" t="s">
        <v>28</v>
      </c>
      <c r="F148" s="11">
        <v>28000</v>
      </c>
      <c r="G148" s="10">
        <v>650</v>
      </c>
      <c r="H148" s="11">
        <v>250000</v>
      </c>
      <c r="I148" s="10" t="s">
        <v>39</v>
      </c>
      <c r="J148" s="10" t="s">
        <v>28</v>
      </c>
    </row>
    <row r="149" spans="1:10" ht="15" customHeight="1" x14ac:dyDescent="0.3">
      <c r="A149" s="10" t="s">
        <v>243</v>
      </c>
      <c r="B149" s="10" t="s">
        <v>88</v>
      </c>
      <c r="C149" s="10" t="s">
        <v>43</v>
      </c>
      <c r="D149" s="10" t="s">
        <v>60</v>
      </c>
      <c r="E149" s="10" t="s">
        <v>14</v>
      </c>
      <c r="F149" s="11">
        <v>65000</v>
      </c>
      <c r="G149" s="10">
        <v>580</v>
      </c>
      <c r="H149" s="11">
        <v>250000</v>
      </c>
      <c r="I149" s="10" t="s">
        <v>29</v>
      </c>
      <c r="J149" s="10"/>
    </row>
    <row r="150" spans="1:10" ht="15" customHeight="1" x14ac:dyDescent="0.3">
      <c r="A150" s="10" t="s">
        <v>244</v>
      </c>
      <c r="B150" s="10" t="s">
        <v>42</v>
      </c>
      <c r="C150" s="10" t="s">
        <v>53</v>
      </c>
      <c r="D150" s="10" t="s">
        <v>38</v>
      </c>
      <c r="E150" s="10" t="s">
        <v>14</v>
      </c>
      <c r="F150" s="11">
        <v>55000</v>
      </c>
      <c r="G150" s="10">
        <v>700</v>
      </c>
      <c r="H150" s="11">
        <v>50000</v>
      </c>
      <c r="I150" s="10" t="s">
        <v>23</v>
      </c>
      <c r="J150" s="10"/>
    </row>
    <row r="151" spans="1:10" ht="15" customHeight="1" x14ac:dyDescent="0.3">
      <c r="A151" s="10" t="s">
        <v>245</v>
      </c>
      <c r="B151" s="10" t="s">
        <v>142</v>
      </c>
      <c r="C151" s="10" t="s">
        <v>53</v>
      </c>
      <c r="D151" s="10" t="s">
        <v>32</v>
      </c>
      <c r="E151" s="10" t="s">
        <v>14</v>
      </c>
      <c r="F151" s="11">
        <v>25000</v>
      </c>
      <c r="G151" s="10">
        <v>610</v>
      </c>
      <c r="H151" s="11">
        <v>100000</v>
      </c>
      <c r="I151" s="10" t="s">
        <v>29</v>
      </c>
      <c r="J151" s="10"/>
    </row>
    <row r="152" spans="1:10" ht="15" customHeight="1" x14ac:dyDescent="0.3">
      <c r="A152" s="10" t="s">
        <v>246</v>
      </c>
      <c r="B152" s="10" t="s">
        <v>147</v>
      </c>
      <c r="C152" s="10" t="s">
        <v>43</v>
      </c>
      <c r="D152" s="10" t="s">
        <v>60</v>
      </c>
      <c r="E152" s="10" t="s">
        <v>14</v>
      </c>
      <c r="F152" s="11">
        <v>28000</v>
      </c>
      <c r="G152" s="10">
        <v>740</v>
      </c>
      <c r="H152" s="11">
        <v>100000</v>
      </c>
      <c r="I152" s="10" t="s">
        <v>181</v>
      </c>
      <c r="J152" s="10"/>
    </row>
    <row r="153" spans="1:10" ht="15" customHeight="1" x14ac:dyDescent="0.3">
      <c r="A153" s="10" t="s">
        <v>247</v>
      </c>
      <c r="B153" s="10" t="s">
        <v>231</v>
      </c>
      <c r="C153" s="10" t="s">
        <v>53</v>
      </c>
      <c r="D153" s="10" t="s">
        <v>13</v>
      </c>
      <c r="E153" s="10" t="s">
        <v>28</v>
      </c>
      <c r="F153" s="11">
        <v>18000</v>
      </c>
      <c r="G153" s="10">
        <v>610</v>
      </c>
      <c r="H153" s="11">
        <v>75000</v>
      </c>
      <c r="I153" s="10" t="s">
        <v>29</v>
      </c>
      <c r="J153" s="10"/>
    </row>
    <row r="154" spans="1:10" ht="15" customHeight="1" x14ac:dyDescent="0.3">
      <c r="A154" s="10" t="s">
        <v>248</v>
      </c>
      <c r="B154" s="10" t="s">
        <v>140</v>
      </c>
      <c r="C154" s="10" t="s">
        <v>12</v>
      </c>
      <c r="D154" s="10" t="s">
        <v>32</v>
      </c>
      <c r="E154" s="10" t="s">
        <v>28</v>
      </c>
      <c r="F154" s="11">
        <v>18000</v>
      </c>
      <c r="G154" s="10">
        <v>720</v>
      </c>
      <c r="H154" s="11">
        <v>200000</v>
      </c>
      <c r="I154" s="10" t="s">
        <v>19</v>
      </c>
      <c r="J154" s="10"/>
    </row>
    <row r="155" spans="1:10" ht="15" customHeight="1" x14ac:dyDescent="0.3">
      <c r="A155" s="10" t="s">
        <v>249</v>
      </c>
      <c r="B155" s="10" t="s">
        <v>11</v>
      </c>
      <c r="C155" s="10" t="s">
        <v>26</v>
      </c>
      <c r="D155" s="10" t="s">
        <v>44</v>
      </c>
      <c r="E155" s="10" t="s">
        <v>28</v>
      </c>
      <c r="F155" s="11">
        <v>55000</v>
      </c>
      <c r="G155" s="10">
        <v>720</v>
      </c>
      <c r="H155" s="11">
        <v>100000</v>
      </c>
      <c r="I155" s="10" t="s">
        <v>29</v>
      </c>
      <c r="J155" s="10"/>
    </row>
    <row r="156" spans="1:10" ht="15" customHeight="1" x14ac:dyDescent="0.3">
      <c r="A156" s="10" t="s">
        <v>250</v>
      </c>
      <c r="B156" s="10" t="s">
        <v>58</v>
      </c>
      <c r="C156" s="10" t="s">
        <v>12</v>
      </c>
      <c r="D156" s="10" t="s">
        <v>27</v>
      </c>
      <c r="E156" s="10" t="s">
        <v>28</v>
      </c>
      <c r="F156" s="11">
        <v>15000</v>
      </c>
      <c r="G156" s="10">
        <v>780</v>
      </c>
      <c r="H156" s="11">
        <v>200000</v>
      </c>
      <c r="I156" s="10" t="s">
        <v>29</v>
      </c>
      <c r="J156" s="10"/>
    </row>
    <row r="157" spans="1:10" ht="15" customHeight="1" x14ac:dyDescent="0.3">
      <c r="A157" s="10" t="s">
        <v>251</v>
      </c>
      <c r="B157" s="10" t="s">
        <v>69</v>
      </c>
      <c r="C157" s="10" t="s">
        <v>43</v>
      </c>
      <c r="D157" s="10" t="s">
        <v>27</v>
      </c>
      <c r="E157" s="10" t="s">
        <v>14</v>
      </c>
      <c r="F157" s="11">
        <v>65000</v>
      </c>
      <c r="G157" s="10">
        <v>740</v>
      </c>
      <c r="H157" s="11">
        <v>100000</v>
      </c>
      <c r="I157" s="10" t="s">
        <v>29</v>
      </c>
      <c r="J157" s="10"/>
    </row>
    <row r="158" spans="1:10" ht="15" customHeight="1" x14ac:dyDescent="0.3">
      <c r="A158" s="10" t="s">
        <v>252</v>
      </c>
      <c r="B158" s="10" t="s">
        <v>140</v>
      </c>
      <c r="C158" s="10" t="s">
        <v>26</v>
      </c>
      <c r="D158" s="10" t="s">
        <v>13</v>
      </c>
      <c r="E158" s="10" t="s">
        <v>14</v>
      </c>
      <c r="F158" s="11">
        <v>15000</v>
      </c>
      <c r="G158" s="10" t="s">
        <v>45</v>
      </c>
      <c r="H158" s="11">
        <v>150000</v>
      </c>
      <c r="I158" s="10" t="s">
        <v>56</v>
      </c>
      <c r="J158" s="10"/>
    </row>
    <row r="159" spans="1:10" ht="15" customHeight="1" x14ac:dyDescent="0.3">
      <c r="A159" s="10" t="s">
        <v>253</v>
      </c>
      <c r="B159" s="10" t="s">
        <v>55</v>
      </c>
      <c r="C159" s="10" t="s">
        <v>35</v>
      </c>
      <c r="D159" s="10" t="s">
        <v>27</v>
      </c>
      <c r="E159" s="10" t="s">
        <v>14</v>
      </c>
      <c r="F159" s="11">
        <v>35000</v>
      </c>
      <c r="G159" s="10">
        <v>740</v>
      </c>
      <c r="H159" s="11">
        <v>250000</v>
      </c>
      <c r="I159" s="10" t="s">
        <v>84</v>
      </c>
      <c r="J159" s="10"/>
    </row>
    <row r="160" spans="1:10" ht="15" customHeight="1" x14ac:dyDescent="0.3">
      <c r="A160" s="10" t="s">
        <v>254</v>
      </c>
      <c r="B160" s="10" t="s">
        <v>144</v>
      </c>
      <c r="C160" s="10" t="s">
        <v>43</v>
      </c>
      <c r="D160" s="10" t="s">
        <v>32</v>
      </c>
      <c r="E160" s="10" t="s">
        <v>14</v>
      </c>
      <c r="F160" s="11">
        <v>35000</v>
      </c>
      <c r="G160" s="10">
        <v>800</v>
      </c>
      <c r="H160" s="11">
        <v>150000</v>
      </c>
      <c r="I160" s="10" t="s">
        <v>15</v>
      </c>
      <c r="J160" s="10"/>
    </row>
    <row r="161" spans="1:10" ht="15" customHeight="1" x14ac:dyDescent="0.3">
      <c r="A161" s="10" t="s">
        <v>255</v>
      </c>
      <c r="B161" s="10" t="s">
        <v>48</v>
      </c>
      <c r="C161" s="10" t="s">
        <v>26</v>
      </c>
      <c r="D161" s="10" t="s">
        <v>60</v>
      </c>
      <c r="E161" s="10" t="s">
        <v>14</v>
      </c>
      <c r="F161" s="11">
        <v>32000</v>
      </c>
      <c r="G161" s="10">
        <v>650</v>
      </c>
      <c r="H161" s="11">
        <v>75000</v>
      </c>
      <c r="I161" s="10" t="s">
        <v>84</v>
      </c>
      <c r="J161" s="10"/>
    </row>
    <row r="162" spans="1:10" ht="15" customHeight="1" x14ac:dyDescent="0.3">
      <c r="A162" s="10" t="s">
        <v>256</v>
      </c>
      <c r="B162" s="10" t="s">
        <v>257</v>
      </c>
      <c r="C162" s="10" t="s">
        <v>35</v>
      </c>
      <c r="D162" s="10" t="s">
        <v>44</v>
      </c>
      <c r="E162" s="10" t="s">
        <v>28</v>
      </c>
      <c r="F162" s="11">
        <v>15000</v>
      </c>
      <c r="G162" s="10">
        <v>720</v>
      </c>
      <c r="H162" s="11">
        <v>50000</v>
      </c>
      <c r="I162" s="10" t="s">
        <v>56</v>
      </c>
      <c r="J162" s="10"/>
    </row>
    <row r="163" spans="1:10" ht="15" customHeight="1" x14ac:dyDescent="0.3">
      <c r="A163" s="10" t="s">
        <v>258</v>
      </c>
      <c r="B163" s="10" t="s">
        <v>188</v>
      </c>
      <c r="C163" s="10" t="s">
        <v>26</v>
      </c>
      <c r="D163" s="10" t="s">
        <v>13</v>
      </c>
      <c r="E163" s="10" t="s">
        <v>14</v>
      </c>
      <c r="F163" s="11">
        <v>65000</v>
      </c>
      <c r="G163" s="10">
        <v>800</v>
      </c>
      <c r="H163" s="11">
        <v>50000</v>
      </c>
      <c r="I163" s="10" t="s">
        <v>39</v>
      </c>
      <c r="J163" s="10" t="s">
        <v>95</v>
      </c>
    </row>
    <row r="164" spans="1:10" ht="15" customHeight="1" x14ac:dyDescent="0.3">
      <c r="A164" s="10" t="s">
        <v>259</v>
      </c>
      <c r="B164" s="10" t="s">
        <v>125</v>
      </c>
      <c r="C164" s="10" t="s">
        <v>53</v>
      </c>
      <c r="D164" s="10" t="s">
        <v>27</v>
      </c>
      <c r="E164" s="10" t="s">
        <v>14</v>
      </c>
      <c r="F164" s="11">
        <v>55000</v>
      </c>
      <c r="G164" s="10">
        <v>650</v>
      </c>
      <c r="H164" s="11">
        <v>300000</v>
      </c>
      <c r="I164" s="10" t="s">
        <v>15</v>
      </c>
      <c r="J164" s="10"/>
    </row>
    <row r="165" spans="1:10" ht="15" customHeight="1" x14ac:dyDescent="0.3">
      <c r="A165" s="10" t="s">
        <v>260</v>
      </c>
      <c r="B165" s="10" t="s">
        <v>109</v>
      </c>
      <c r="C165" s="10" t="s">
        <v>22</v>
      </c>
      <c r="D165" s="10" t="s">
        <v>92</v>
      </c>
      <c r="E165" s="10" t="s">
        <v>14</v>
      </c>
      <c r="F165" s="11">
        <v>25000</v>
      </c>
      <c r="G165" s="10">
        <v>700</v>
      </c>
      <c r="H165" s="11">
        <v>300000</v>
      </c>
      <c r="I165" s="10" t="s">
        <v>29</v>
      </c>
      <c r="J165" s="10"/>
    </row>
    <row r="166" spans="1:10" ht="15" customHeight="1" x14ac:dyDescent="0.3">
      <c r="A166" s="10" t="s">
        <v>261</v>
      </c>
      <c r="B166" s="10" t="s">
        <v>140</v>
      </c>
      <c r="C166" s="10" t="s">
        <v>35</v>
      </c>
      <c r="D166" s="10" t="s">
        <v>60</v>
      </c>
      <c r="E166" s="10" t="s">
        <v>14</v>
      </c>
      <c r="F166" s="11">
        <v>22000</v>
      </c>
      <c r="G166" s="10">
        <v>760</v>
      </c>
      <c r="H166" s="11">
        <v>75000</v>
      </c>
      <c r="I166" s="10" t="s">
        <v>56</v>
      </c>
      <c r="J166" s="10"/>
    </row>
    <row r="167" spans="1:10" ht="15" customHeight="1" x14ac:dyDescent="0.3">
      <c r="A167" s="10" t="s">
        <v>262</v>
      </c>
      <c r="B167" s="10" t="s">
        <v>105</v>
      </c>
      <c r="C167" s="10" t="s">
        <v>12</v>
      </c>
      <c r="D167" s="10" t="s">
        <v>70</v>
      </c>
      <c r="E167" s="10" t="s">
        <v>14</v>
      </c>
      <c r="F167" s="11">
        <v>15000</v>
      </c>
      <c r="G167" s="10">
        <v>700</v>
      </c>
      <c r="H167" s="11">
        <v>75000</v>
      </c>
      <c r="I167" s="10" t="s">
        <v>29</v>
      </c>
      <c r="J167" s="10"/>
    </row>
    <row r="168" spans="1:10" ht="15" customHeight="1" x14ac:dyDescent="0.3">
      <c r="A168" s="10" t="s">
        <v>263</v>
      </c>
      <c r="B168" s="10" t="s">
        <v>142</v>
      </c>
      <c r="C168" s="10" t="s">
        <v>53</v>
      </c>
      <c r="D168" s="10" t="s">
        <v>70</v>
      </c>
      <c r="E168" s="10" t="s">
        <v>14</v>
      </c>
      <c r="F168" s="11">
        <v>28000</v>
      </c>
      <c r="G168" s="10" t="s">
        <v>45</v>
      </c>
      <c r="H168" s="11">
        <v>150000</v>
      </c>
      <c r="I168" s="10" t="s">
        <v>15</v>
      </c>
      <c r="J168" s="10"/>
    </row>
    <row r="169" spans="1:10" ht="15" customHeight="1" x14ac:dyDescent="0.3">
      <c r="A169" s="10" t="s">
        <v>264</v>
      </c>
      <c r="B169" s="10" t="s">
        <v>86</v>
      </c>
      <c r="C169" s="10" t="s">
        <v>35</v>
      </c>
      <c r="D169" s="10" t="s">
        <v>13</v>
      </c>
      <c r="E169" s="10" t="s">
        <v>28</v>
      </c>
      <c r="F169" s="11">
        <v>40000</v>
      </c>
      <c r="G169" s="10">
        <v>700</v>
      </c>
      <c r="H169" s="11">
        <v>200000</v>
      </c>
      <c r="I169" s="10" t="s">
        <v>49</v>
      </c>
      <c r="J169" s="10" t="s">
        <v>28</v>
      </c>
    </row>
    <row r="170" spans="1:10" ht="15" customHeight="1" x14ac:dyDescent="0.3">
      <c r="A170" s="10" t="s">
        <v>265</v>
      </c>
      <c r="B170" s="10" t="s">
        <v>153</v>
      </c>
      <c r="C170" s="10" t="s">
        <v>43</v>
      </c>
      <c r="D170" s="10" t="s">
        <v>70</v>
      </c>
      <c r="E170" s="10" t="s">
        <v>28</v>
      </c>
      <c r="F170" s="11">
        <v>40000</v>
      </c>
      <c r="G170" s="10">
        <v>800</v>
      </c>
      <c r="H170" s="11">
        <v>50000</v>
      </c>
      <c r="I170" s="10" t="s">
        <v>181</v>
      </c>
      <c r="J170" s="10"/>
    </row>
    <row r="171" spans="1:10" ht="15" customHeight="1" x14ac:dyDescent="0.3">
      <c r="A171" s="10" t="s">
        <v>266</v>
      </c>
      <c r="B171" s="10" t="s">
        <v>58</v>
      </c>
      <c r="C171" s="10" t="s">
        <v>26</v>
      </c>
      <c r="D171" s="10" t="s">
        <v>32</v>
      </c>
      <c r="E171" s="10" t="s">
        <v>14</v>
      </c>
      <c r="F171" s="11">
        <v>40000</v>
      </c>
      <c r="G171" s="10">
        <v>740</v>
      </c>
      <c r="H171" s="11">
        <v>50000</v>
      </c>
      <c r="I171" s="10" t="s">
        <v>15</v>
      </c>
      <c r="J171" s="10"/>
    </row>
    <row r="172" spans="1:10" ht="15" customHeight="1" x14ac:dyDescent="0.3">
      <c r="A172" s="10" t="s">
        <v>267</v>
      </c>
      <c r="B172" s="10" t="s">
        <v>125</v>
      </c>
      <c r="C172" s="10" t="s">
        <v>43</v>
      </c>
      <c r="D172" s="10" t="s">
        <v>65</v>
      </c>
      <c r="E172" s="10" t="s">
        <v>14</v>
      </c>
      <c r="F172" s="11">
        <v>22000</v>
      </c>
      <c r="G172" s="10">
        <v>670</v>
      </c>
      <c r="H172" s="11">
        <v>200000</v>
      </c>
      <c r="I172" s="10" t="s">
        <v>39</v>
      </c>
      <c r="J172" s="10" t="s">
        <v>46</v>
      </c>
    </row>
    <row r="173" spans="1:10" ht="15" customHeight="1" x14ac:dyDescent="0.3">
      <c r="A173" s="10" t="s">
        <v>268</v>
      </c>
      <c r="B173" s="10" t="s">
        <v>109</v>
      </c>
      <c r="C173" s="10" t="s">
        <v>12</v>
      </c>
      <c r="D173" s="10" t="s">
        <v>44</v>
      </c>
      <c r="E173" s="10" t="s">
        <v>28</v>
      </c>
      <c r="F173" s="11">
        <v>55000</v>
      </c>
      <c r="G173" s="10">
        <v>760</v>
      </c>
      <c r="H173" s="11">
        <v>200000</v>
      </c>
      <c r="I173" s="10" t="s">
        <v>56</v>
      </c>
      <c r="J173" s="10"/>
    </row>
    <row r="174" spans="1:10" ht="15" customHeight="1" x14ac:dyDescent="0.3">
      <c r="A174" s="10" t="s">
        <v>269</v>
      </c>
      <c r="B174" s="10" t="s">
        <v>72</v>
      </c>
      <c r="C174" s="10" t="s">
        <v>26</v>
      </c>
      <c r="D174" s="10" t="s">
        <v>13</v>
      </c>
      <c r="E174" s="10" t="s">
        <v>14</v>
      </c>
      <c r="F174" s="11">
        <v>65000</v>
      </c>
      <c r="G174" s="10">
        <v>800</v>
      </c>
      <c r="H174" s="11">
        <v>200000</v>
      </c>
      <c r="I174" s="10" t="s">
        <v>29</v>
      </c>
      <c r="J174" s="10"/>
    </row>
    <row r="175" spans="1:10" ht="15" customHeight="1" x14ac:dyDescent="0.3">
      <c r="A175" s="10" t="s">
        <v>270</v>
      </c>
      <c r="B175" s="10" t="s">
        <v>94</v>
      </c>
      <c r="C175" s="10" t="s">
        <v>22</v>
      </c>
      <c r="D175" s="10" t="s">
        <v>32</v>
      </c>
      <c r="E175" s="10" t="s">
        <v>28</v>
      </c>
      <c r="F175" s="11">
        <v>25000</v>
      </c>
      <c r="G175" s="10">
        <v>720</v>
      </c>
      <c r="H175" s="11">
        <v>150000</v>
      </c>
      <c r="I175" s="10" t="s">
        <v>56</v>
      </c>
      <c r="J175" s="10"/>
    </row>
    <row r="176" spans="1:10" ht="15" customHeight="1" x14ac:dyDescent="0.3">
      <c r="A176" s="10" t="s">
        <v>271</v>
      </c>
      <c r="B176" s="10" t="s">
        <v>231</v>
      </c>
      <c r="C176" s="10" t="s">
        <v>26</v>
      </c>
      <c r="D176" s="10" t="s">
        <v>13</v>
      </c>
      <c r="E176" s="10" t="s">
        <v>28</v>
      </c>
      <c r="F176" s="11">
        <v>35000</v>
      </c>
      <c r="G176" s="10">
        <v>700</v>
      </c>
      <c r="H176" s="11">
        <v>75000</v>
      </c>
      <c r="I176" s="10" t="s">
        <v>39</v>
      </c>
      <c r="J176" s="10" t="s">
        <v>28</v>
      </c>
    </row>
    <row r="177" spans="1:10" ht="15" customHeight="1" x14ac:dyDescent="0.3">
      <c r="A177" s="10" t="s">
        <v>272</v>
      </c>
      <c r="B177" s="10" t="s">
        <v>147</v>
      </c>
      <c r="C177" s="10" t="s">
        <v>26</v>
      </c>
      <c r="D177" s="10" t="s">
        <v>13</v>
      </c>
      <c r="E177" s="10" t="s">
        <v>14</v>
      </c>
      <c r="F177" s="11">
        <v>18000</v>
      </c>
      <c r="G177" s="10">
        <v>580</v>
      </c>
      <c r="H177" s="11">
        <v>250000</v>
      </c>
      <c r="I177" s="10" t="s">
        <v>84</v>
      </c>
      <c r="J177" s="10"/>
    </row>
    <row r="178" spans="1:10" ht="15" customHeight="1" x14ac:dyDescent="0.3">
      <c r="A178" s="10" t="s">
        <v>273</v>
      </c>
      <c r="B178" s="10" t="s">
        <v>134</v>
      </c>
      <c r="C178" s="10" t="s">
        <v>53</v>
      </c>
      <c r="D178" s="10" t="s">
        <v>65</v>
      </c>
      <c r="E178" s="10" t="s">
        <v>14</v>
      </c>
      <c r="F178" s="11">
        <v>55000</v>
      </c>
      <c r="G178" s="10">
        <v>760</v>
      </c>
      <c r="H178" s="11">
        <v>150000</v>
      </c>
      <c r="I178" s="10" t="s">
        <v>39</v>
      </c>
      <c r="J178" s="10" t="s">
        <v>95</v>
      </c>
    </row>
    <row r="179" spans="1:10" ht="15" customHeight="1" x14ac:dyDescent="0.3">
      <c r="A179" s="10" t="s">
        <v>274</v>
      </c>
      <c r="B179" s="10" t="s">
        <v>176</v>
      </c>
      <c r="C179" s="10" t="s">
        <v>12</v>
      </c>
      <c r="D179" s="10" t="s">
        <v>32</v>
      </c>
      <c r="E179" s="10" t="s">
        <v>14</v>
      </c>
      <c r="F179" s="11">
        <v>28000</v>
      </c>
      <c r="G179" s="10">
        <v>780</v>
      </c>
      <c r="H179" s="11">
        <v>50000</v>
      </c>
      <c r="I179" s="10" t="s">
        <v>56</v>
      </c>
      <c r="J179" s="10"/>
    </row>
    <row r="180" spans="1:10" ht="15" customHeight="1" x14ac:dyDescent="0.3">
      <c r="A180" s="10" t="s">
        <v>275</v>
      </c>
      <c r="B180" s="10" t="s">
        <v>134</v>
      </c>
      <c r="C180" s="10" t="s">
        <v>43</v>
      </c>
      <c r="D180" s="10" t="s">
        <v>27</v>
      </c>
      <c r="E180" s="10" t="s">
        <v>14</v>
      </c>
      <c r="F180" s="11">
        <v>65000</v>
      </c>
      <c r="G180" s="10">
        <v>740</v>
      </c>
      <c r="H180" s="11">
        <v>50000</v>
      </c>
      <c r="I180" s="10" t="s">
        <v>15</v>
      </c>
      <c r="J180" s="10"/>
    </row>
    <row r="181" spans="1:10" ht="15" customHeight="1" x14ac:dyDescent="0.3">
      <c r="A181" s="10" t="s">
        <v>276</v>
      </c>
      <c r="B181" s="10" t="s">
        <v>125</v>
      </c>
      <c r="C181" s="10" t="s">
        <v>43</v>
      </c>
      <c r="D181" s="10" t="s">
        <v>44</v>
      </c>
      <c r="E181" s="10" t="s">
        <v>14</v>
      </c>
      <c r="F181" s="11">
        <v>28000</v>
      </c>
      <c r="G181" s="10">
        <v>780</v>
      </c>
      <c r="H181" s="11">
        <v>150000</v>
      </c>
      <c r="I181" s="10" t="s">
        <v>15</v>
      </c>
      <c r="J181" s="10"/>
    </row>
    <row r="182" spans="1:10" ht="15" customHeight="1" x14ac:dyDescent="0.3">
      <c r="A182" s="10" t="s">
        <v>277</v>
      </c>
      <c r="B182" s="10" t="s">
        <v>167</v>
      </c>
      <c r="C182" s="10" t="s">
        <v>43</v>
      </c>
      <c r="D182" s="10" t="s">
        <v>92</v>
      </c>
      <c r="E182" s="10" t="s">
        <v>14</v>
      </c>
      <c r="F182" s="11">
        <v>55000</v>
      </c>
      <c r="G182" s="10">
        <v>800</v>
      </c>
      <c r="H182" s="11">
        <v>100000</v>
      </c>
      <c r="I182" s="10" t="s">
        <v>29</v>
      </c>
      <c r="J182" s="10"/>
    </row>
    <row r="183" spans="1:10" ht="15" customHeight="1" x14ac:dyDescent="0.3">
      <c r="A183" s="10" t="s">
        <v>278</v>
      </c>
      <c r="B183" s="10" t="s">
        <v>199</v>
      </c>
      <c r="C183" s="10" t="s">
        <v>22</v>
      </c>
      <c r="D183" s="10" t="s">
        <v>60</v>
      </c>
      <c r="E183" s="10" t="s">
        <v>28</v>
      </c>
      <c r="F183" s="11">
        <v>32000</v>
      </c>
      <c r="G183" s="10">
        <v>700</v>
      </c>
      <c r="H183" s="11">
        <v>300000</v>
      </c>
      <c r="I183" s="10" t="s">
        <v>19</v>
      </c>
      <c r="J183" s="10"/>
    </row>
    <row r="184" spans="1:10" ht="15" customHeight="1" x14ac:dyDescent="0.3">
      <c r="A184" s="10" t="s">
        <v>279</v>
      </c>
      <c r="B184" s="10" t="s">
        <v>147</v>
      </c>
      <c r="C184" s="10" t="s">
        <v>43</v>
      </c>
      <c r="D184" s="10" t="s">
        <v>32</v>
      </c>
      <c r="E184" s="10" t="s">
        <v>14</v>
      </c>
      <c r="F184" s="11">
        <v>22000</v>
      </c>
      <c r="G184" s="10">
        <v>800</v>
      </c>
      <c r="H184" s="11">
        <v>50000</v>
      </c>
      <c r="I184" s="10" t="s">
        <v>181</v>
      </c>
      <c r="J184" s="10"/>
    </row>
    <row r="185" spans="1:10" ht="15" customHeight="1" x14ac:dyDescent="0.3">
      <c r="A185" s="10" t="s">
        <v>280</v>
      </c>
      <c r="B185" s="10" t="s">
        <v>113</v>
      </c>
      <c r="C185" s="10" t="s">
        <v>43</v>
      </c>
      <c r="D185" s="10" t="s">
        <v>27</v>
      </c>
      <c r="E185" s="10" t="s">
        <v>28</v>
      </c>
      <c r="F185" s="11">
        <v>35000</v>
      </c>
      <c r="G185" s="10">
        <v>740</v>
      </c>
      <c r="H185" s="11">
        <v>100000</v>
      </c>
      <c r="I185" s="10" t="s">
        <v>56</v>
      </c>
      <c r="J185" s="10"/>
    </row>
    <row r="186" spans="1:10" ht="15" customHeight="1" x14ac:dyDescent="0.3">
      <c r="A186" s="10" t="s">
        <v>281</v>
      </c>
      <c r="B186" s="10" t="s">
        <v>101</v>
      </c>
      <c r="C186" s="10" t="s">
        <v>12</v>
      </c>
      <c r="D186" s="10" t="s">
        <v>44</v>
      </c>
      <c r="E186" s="10" t="s">
        <v>14</v>
      </c>
      <c r="F186" s="11">
        <v>15000</v>
      </c>
      <c r="G186" s="10">
        <v>610</v>
      </c>
      <c r="H186" s="11">
        <v>200000</v>
      </c>
      <c r="I186" s="10" t="s">
        <v>15</v>
      </c>
      <c r="J186" s="10"/>
    </row>
    <row r="187" spans="1:10" ht="15" customHeight="1" x14ac:dyDescent="0.3">
      <c r="A187" s="10" t="s">
        <v>282</v>
      </c>
      <c r="B187" s="10" t="s">
        <v>83</v>
      </c>
      <c r="C187" s="10" t="s">
        <v>12</v>
      </c>
      <c r="D187" s="10" t="s">
        <v>13</v>
      </c>
      <c r="E187" s="10" t="s">
        <v>28</v>
      </c>
      <c r="F187" s="11">
        <v>40000</v>
      </c>
      <c r="G187" s="10">
        <v>800</v>
      </c>
      <c r="H187" s="11">
        <v>200000</v>
      </c>
      <c r="I187" s="10" t="s">
        <v>84</v>
      </c>
      <c r="J187" s="10"/>
    </row>
    <row r="188" spans="1:10" ht="15" customHeight="1" x14ac:dyDescent="0.3">
      <c r="A188" s="10" t="s">
        <v>283</v>
      </c>
      <c r="B188" s="10" t="s">
        <v>42</v>
      </c>
      <c r="C188" s="10" t="s">
        <v>26</v>
      </c>
      <c r="D188" s="10" t="s">
        <v>60</v>
      </c>
      <c r="E188" s="10" t="s">
        <v>14</v>
      </c>
      <c r="F188" s="11">
        <v>45000</v>
      </c>
      <c r="G188" s="10">
        <v>580</v>
      </c>
      <c r="H188" s="11">
        <v>50000</v>
      </c>
      <c r="I188" s="10" t="s">
        <v>56</v>
      </c>
      <c r="J188" s="10"/>
    </row>
    <row r="189" spans="1:10" ht="15" customHeight="1" x14ac:dyDescent="0.3">
      <c r="A189" s="10" t="s">
        <v>284</v>
      </c>
      <c r="B189" s="10" t="s">
        <v>94</v>
      </c>
      <c r="C189" s="10" t="s">
        <v>12</v>
      </c>
      <c r="D189" s="10" t="s">
        <v>92</v>
      </c>
      <c r="E189" s="10" t="s">
        <v>28</v>
      </c>
      <c r="F189" s="11">
        <v>45000</v>
      </c>
      <c r="G189" s="10">
        <v>800</v>
      </c>
      <c r="H189" s="11">
        <v>75000</v>
      </c>
      <c r="I189" s="10" t="s">
        <v>56</v>
      </c>
      <c r="J189" s="10"/>
    </row>
    <row r="190" spans="1:10" ht="15" customHeight="1" x14ac:dyDescent="0.3">
      <c r="A190" s="10" t="s">
        <v>285</v>
      </c>
      <c r="B190" s="10" t="s">
        <v>97</v>
      </c>
      <c r="C190" s="10" t="s">
        <v>43</v>
      </c>
      <c r="D190" s="10" t="s">
        <v>70</v>
      </c>
      <c r="E190" s="10" t="s">
        <v>14</v>
      </c>
      <c r="F190" s="11">
        <v>25000</v>
      </c>
      <c r="G190" s="10">
        <v>670</v>
      </c>
      <c r="H190" s="11">
        <v>300000</v>
      </c>
      <c r="I190" s="10" t="s">
        <v>29</v>
      </c>
      <c r="J190" s="10"/>
    </row>
    <row r="191" spans="1:10" ht="15" customHeight="1" x14ac:dyDescent="0.3">
      <c r="A191" s="10" t="s">
        <v>286</v>
      </c>
      <c r="B191" s="10" t="s">
        <v>131</v>
      </c>
      <c r="C191" s="10" t="s">
        <v>53</v>
      </c>
      <c r="D191" s="10" t="s">
        <v>60</v>
      </c>
      <c r="E191" s="10" t="s">
        <v>28</v>
      </c>
      <c r="F191" s="11">
        <v>18000</v>
      </c>
      <c r="G191" s="10" t="s">
        <v>45</v>
      </c>
      <c r="H191" s="11">
        <v>150000</v>
      </c>
      <c r="I191" s="10" t="s">
        <v>49</v>
      </c>
      <c r="J191" s="10" t="s">
        <v>46</v>
      </c>
    </row>
    <row r="192" spans="1:10" ht="15" customHeight="1" x14ac:dyDescent="0.3">
      <c r="A192" s="10" t="s">
        <v>287</v>
      </c>
      <c r="B192" s="10" t="s">
        <v>134</v>
      </c>
      <c r="C192" s="10" t="s">
        <v>22</v>
      </c>
      <c r="D192" s="10" t="s">
        <v>32</v>
      </c>
      <c r="E192" s="10" t="s">
        <v>14</v>
      </c>
      <c r="F192" s="11">
        <v>45000</v>
      </c>
      <c r="G192" s="10">
        <v>760</v>
      </c>
      <c r="H192" s="11">
        <v>300000</v>
      </c>
      <c r="I192" s="10" t="s">
        <v>29</v>
      </c>
      <c r="J192" s="10"/>
    </row>
    <row r="193" spans="1:10" ht="15" customHeight="1" x14ac:dyDescent="0.3">
      <c r="A193" s="10" t="s">
        <v>288</v>
      </c>
      <c r="B193" s="10" t="s">
        <v>58</v>
      </c>
      <c r="C193" s="10" t="s">
        <v>35</v>
      </c>
      <c r="D193" s="10" t="s">
        <v>32</v>
      </c>
      <c r="E193" s="10" t="s">
        <v>14</v>
      </c>
      <c r="F193" s="11">
        <v>35000</v>
      </c>
      <c r="G193" s="10" t="s">
        <v>45</v>
      </c>
      <c r="H193" s="11">
        <v>300000</v>
      </c>
      <c r="I193" s="10" t="s">
        <v>49</v>
      </c>
      <c r="J193" s="10" t="s">
        <v>95</v>
      </c>
    </row>
    <row r="194" spans="1:10" ht="15" customHeight="1" x14ac:dyDescent="0.3">
      <c r="A194" s="10" t="s">
        <v>289</v>
      </c>
      <c r="B194" s="10" t="s">
        <v>167</v>
      </c>
      <c r="C194" s="10" t="s">
        <v>43</v>
      </c>
      <c r="D194" s="10" t="s">
        <v>32</v>
      </c>
      <c r="E194" s="10" t="s">
        <v>28</v>
      </c>
      <c r="F194" s="11">
        <v>65000</v>
      </c>
      <c r="G194" s="10">
        <v>720</v>
      </c>
      <c r="H194" s="11">
        <v>150000</v>
      </c>
      <c r="I194" s="10" t="s">
        <v>56</v>
      </c>
      <c r="J194" s="10"/>
    </row>
    <row r="195" spans="1:10" ht="15" customHeight="1" x14ac:dyDescent="0.3">
      <c r="A195" s="10" t="s">
        <v>290</v>
      </c>
      <c r="B195" s="10" t="s">
        <v>62</v>
      </c>
      <c r="C195" s="10" t="s">
        <v>53</v>
      </c>
      <c r="D195" s="10" t="s">
        <v>65</v>
      </c>
      <c r="E195" s="10" t="s">
        <v>28</v>
      </c>
      <c r="F195" s="11">
        <v>32000</v>
      </c>
      <c r="G195" s="10">
        <v>580</v>
      </c>
      <c r="H195" s="11">
        <v>50000</v>
      </c>
      <c r="I195" s="10" t="s">
        <v>84</v>
      </c>
      <c r="J195" s="10"/>
    </row>
    <row r="196" spans="1:10" ht="15" customHeight="1" x14ac:dyDescent="0.3">
      <c r="A196" s="10" t="s">
        <v>291</v>
      </c>
      <c r="B196" s="10" t="s">
        <v>147</v>
      </c>
      <c r="C196" s="10" t="s">
        <v>26</v>
      </c>
      <c r="D196" s="10" t="s">
        <v>92</v>
      </c>
      <c r="E196" s="10" t="s">
        <v>28</v>
      </c>
      <c r="F196" s="11">
        <v>45000</v>
      </c>
      <c r="G196" s="10">
        <v>580</v>
      </c>
      <c r="H196" s="11">
        <v>100000</v>
      </c>
      <c r="I196" s="10" t="s">
        <v>84</v>
      </c>
      <c r="J196" s="10"/>
    </row>
    <row r="197" spans="1:10" ht="15" customHeight="1" x14ac:dyDescent="0.3">
      <c r="A197" s="10" t="s">
        <v>292</v>
      </c>
      <c r="B197" s="10" t="s">
        <v>142</v>
      </c>
      <c r="C197" s="10" t="s">
        <v>53</v>
      </c>
      <c r="D197" s="10" t="s">
        <v>27</v>
      </c>
      <c r="E197" s="10" t="s">
        <v>28</v>
      </c>
      <c r="F197" s="11">
        <v>22000</v>
      </c>
      <c r="G197" s="10">
        <v>580</v>
      </c>
      <c r="H197" s="11">
        <v>50000</v>
      </c>
      <c r="I197" s="10" t="s">
        <v>49</v>
      </c>
      <c r="J197" s="10" t="s">
        <v>46</v>
      </c>
    </row>
    <row r="198" spans="1:10" ht="15" customHeight="1" x14ac:dyDescent="0.3">
      <c r="A198" s="10" t="s">
        <v>293</v>
      </c>
      <c r="B198" s="10" t="s">
        <v>11</v>
      </c>
      <c r="C198" s="10" t="s">
        <v>43</v>
      </c>
      <c r="D198" s="10" t="s">
        <v>27</v>
      </c>
      <c r="E198" s="10" t="s">
        <v>28</v>
      </c>
      <c r="F198" s="11">
        <v>32000</v>
      </c>
      <c r="G198" s="10">
        <v>800</v>
      </c>
      <c r="H198" s="11">
        <v>75000</v>
      </c>
      <c r="I198" s="10" t="s">
        <v>29</v>
      </c>
      <c r="J198" s="10"/>
    </row>
    <row r="199" spans="1:10" ht="15" customHeight="1" x14ac:dyDescent="0.3">
      <c r="A199" s="10" t="s">
        <v>294</v>
      </c>
      <c r="B199" s="10" t="s">
        <v>69</v>
      </c>
      <c r="C199" s="10" t="s">
        <v>22</v>
      </c>
      <c r="D199" s="10" t="s">
        <v>60</v>
      </c>
      <c r="E199" s="10" t="s">
        <v>14</v>
      </c>
      <c r="F199" s="11">
        <v>22000</v>
      </c>
      <c r="G199" s="10">
        <v>780</v>
      </c>
      <c r="H199" s="11">
        <v>300000</v>
      </c>
      <c r="I199" s="10" t="s">
        <v>15</v>
      </c>
      <c r="J199" s="10"/>
    </row>
    <row r="200" spans="1:10" ht="15" customHeight="1" x14ac:dyDescent="0.3">
      <c r="A200" s="10" t="s">
        <v>295</v>
      </c>
      <c r="B200" s="10" t="s">
        <v>231</v>
      </c>
      <c r="C200" s="10" t="s">
        <v>35</v>
      </c>
      <c r="D200" s="10" t="s">
        <v>65</v>
      </c>
      <c r="E200" s="10" t="s">
        <v>28</v>
      </c>
      <c r="F200" s="11">
        <v>40000</v>
      </c>
      <c r="G200" s="10">
        <v>780</v>
      </c>
      <c r="H200" s="11">
        <v>150000</v>
      </c>
      <c r="I200" s="10" t="s">
        <v>29</v>
      </c>
      <c r="J200" s="10"/>
    </row>
    <row r="201" spans="1:10" ht="15" customHeight="1" x14ac:dyDescent="0.3">
      <c r="A201" s="10" t="s">
        <v>296</v>
      </c>
      <c r="B201" s="10" t="s">
        <v>153</v>
      </c>
      <c r="C201" s="10" t="s">
        <v>43</v>
      </c>
      <c r="D201" s="10" t="s">
        <v>92</v>
      </c>
      <c r="E201" s="10" t="s">
        <v>28</v>
      </c>
      <c r="F201" s="11">
        <v>65000</v>
      </c>
      <c r="G201" s="10">
        <v>700</v>
      </c>
      <c r="H201" s="11">
        <v>50000</v>
      </c>
      <c r="I201" s="10" t="s">
        <v>15</v>
      </c>
      <c r="J201" s="10"/>
    </row>
    <row r="202" spans="1:10" ht="15" customHeight="1" x14ac:dyDescent="0.3">
      <c r="A202" s="10" t="s">
        <v>297</v>
      </c>
      <c r="B202" s="10" t="s">
        <v>113</v>
      </c>
      <c r="C202" s="10" t="s">
        <v>26</v>
      </c>
      <c r="D202" s="10" t="s">
        <v>60</v>
      </c>
      <c r="E202" s="10" t="s">
        <v>28</v>
      </c>
      <c r="F202" s="11">
        <v>55000</v>
      </c>
      <c r="G202" s="10" t="s">
        <v>45</v>
      </c>
      <c r="H202" s="11">
        <v>50000</v>
      </c>
      <c r="I202" s="10" t="s">
        <v>84</v>
      </c>
      <c r="J202" s="10"/>
    </row>
    <row r="203" spans="1:10" ht="15" customHeight="1" x14ac:dyDescent="0.3">
      <c r="A203" s="10" t="s">
        <v>298</v>
      </c>
      <c r="B203" s="10" t="s">
        <v>69</v>
      </c>
      <c r="C203" s="10" t="s">
        <v>26</v>
      </c>
      <c r="D203" s="10" t="s">
        <v>38</v>
      </c>
      <c r="E203" s="10" t="s">
        <v>14</v>
      </c>
      <c r="F203" s="11">
        <v>15000</v>
      </c>
      <c r="G203" s="10">
        <v>700</v>
      </c>
      <c r="H203" s="11">
        <v>50000</v>
      </c>
      <c r="I203" s="10" t="s">
        <v>29</v>
      </c>
      <c r="J203" s="10"/>
    </row>
    <row r="204" spans="1:10" ht="15" customHeight="1" x14ac:dyDescent="0.3">
      <c r="A204" s="10" t="s">
        <v>299</v>
      </c>
      <c r="B204" s="10" t="s">
        <v>300</v>
      </c>
      <c r="C204" s="10" t="s">
        <v>35</v>
      </c>
      <c r="D204" s="10" t="s">
        <v>92</v>
      </c>
      <c r="E204" s="10" t="s">
        <v>28</v>
      </c>
      <c r="F204" s="11">
        <v>40000</v>
      </c>
      <c r="G204" s="10">
        <v>780</v>
      </c>
      <c r="H204" s="11">
        <v>150000</v>
      </c>
      <c r="I204" s="10" t="s">
        <v>39</v>
      </c>
      <c r="J204" s="10" t="s">
        <v>95</v>
      </c>
    </row>
    <row r="205" spans="1:10" ht="15" customHeight="1" x14ac:dyDescent="0.3">
      <c r="A205" s="10" t="s">
        <v>301</v>
      </c>
      <c r="B205" s="10" t="s">
        <v>300</v>
      </c>
      <c r="C205" s="10" t="s">
        <v>43</v>
      </c>
      <c r="D205" s="10" t="s">
        <v>27</v>
      </c>
      <c r="E205" s="10" t="s">
        <v>28</v>
      </c>
      <c r="F205" s="11">
        <v>55000</v>
      </c>
      <c r="G205" s="10">
        <v>740</v>
      </c>
      <c r="H205" s="11">
        <v>50000</v>
      </c>
      <c r="I205" s="10" t="s">
        <v>49</v>
      </c>
      <c r="J205" s="10" t="s">
        <v>67</v>
      </c>
    </row>
    <row r="206" spans="1:10" ht="15" customHeight="1" x14ac:dyDescent="0.3">
      <c r="A206" s="10" t="s">
        <v>302</v>
      </c>
      <c r="B206" s="10" t="s">
        <v>142</v>
      </c>
      <c r="C206" s="10" t="s">
        <v>53</v>
      </c>
      <c r="D206" s="10" t="s">
        <v>13</v>
      </c>
      <c r="E206" s="10" t="s">
        <v>14</v>
      </c>
      <c r="F206" s="11">
        <v>15000</v>
      </c>
      <c r="G206" s="10">
        <v>650</v>
      </c>
      <c r="H206" s="11">
        <v>150000</v>
      </c>
      <c r="I206" s="10" t="s">
        <v>23</v>
      </c>
      <c r="J206" s="10"/>
    </row>
    <row r="207" spans="1:10" ht="15" customHeight="1" x14ac:dyDescent="0.3">
      <c r="A207" s="10" t="s">
        <v>303</v>
      </c>
      <c r="B207" s="10" t="s">
        <v>129</v>
      </c>
      <c r="C207" s="10" t="s">
        <v>43</v>
      </c>
      <c r="D207" s="10" t="s">
        <v>92</v>
      </c>
      <c r="E207" s="10" t="s">
        <v>14</v>
      </c>
      <c r="F207" s="11">
        <v>32000</v>
      </c>
      <c r="G207" s="10">
        <v>700</v>
      </c>
      <c r="H207" s="11">
        <v>150000</v>
      </c>
      <c r="I207" s="10" t="s">
        <v>29</v>
      </c>
      <c r="J207" s="10"/>
    </row>
    <row r="208" spans="1:10" ht="15" customHeight="1" x14ac:dyDescent="0.3">
      <c r="A208" s="10" t="s">
        <v>304</v>
      </c>
      <c r="B208" s="10" t="s">
        <v>11</v>
      </c>
      <c r="C208" s="10" t="s">
        <v>53</v>
      </c>
      <c r="D208" s="10" t="s">
        <v>92</v>
      </c>
      <c r="E208" s="10" t="s">
        <v>14</v>
      </c>
      <c r="F208" s="11">
        <v>65000</v>
      </c>
      <c r="G208" s="10">
        <v>800</v>
      </c>
      <c r="H208" s="11">
        <v>100000</v>
      </c>
      <c r="I208" s="10" t="s">
        <v>56</v>
      </c>
      <c r="J208" s="10"/>
    </row>
    <row r="209" spans="1:10" ht="15" customHeight="1" x14ac:dyDescent="0.3">
      <c r="A209" s="10" t="s">
        <v>305</v>
      </c>
      <c r="B209" s="10" t="s">
        <v>199</v>
      </c>
      <c r="C209" s="10" t="s">
        <v>43</v>
      </c>
      <c r="D209" s="10" t="s">
        <v>32</v>
      </c>
      <c r="E209" s="10" t="s">
        <v>28</v>
      </c>
      <c r="F209" s="11">
        <v>28000</v>
      </c>
      <c r="G209" s="10">
        <v>800</v>
      </c>
      <c r="H209" s="11">
        <v>200000</v>
      </c>
      <c r="I209" s="10" t="s">
        <v>181</v>
      </c>
      <c r="J209" s="10"/>
    </row>
    <row r="210" spans="1:10" ht="15" customHeight="1" x14ac:dyDescent="0.3">
      <c r="A210" s="10" t="s">
        <v>306</v>
      </c>
      <c r="B210" s="10" t="s">
        <v>190</v>
      </c>
      <c r="C210" s="10" t="s">
        <v>53</v>
      </c>
      <c r="D210" s="10" t="s">
        <v>13</v>
      </c>
      <c r="E210" s="10" t="s">
        <v>14</v>
      </c>
      <c r="F210" s="11">
        <v>32000</v>
      </c>
      <c r="G210" s="10">
        <v>670</v>
      </c>
      <c r="H210" s="11">
        <v>250000</v>
      </c>
      <c r="I210" s="10" t="s">
        <v>181</v>
      </c>
      <c r="J210" s="10"/>
    </row>
    <row r="211" spans="1:10" ht="15" customHeight="1" x14ac:dyDescent="0.3">
      <c r="A211" s="10" t="s">
        <v>307</v>
      </c>
      <c r="B211" s="10" t="s">
        <v>31</v>
      </c>
      <c r="C211" s="10" t="s">
        <v>26</v>
      </c>
      <c r="D211" s="10" t="s">
        <v>65</v>
      </c>
      <c r="E211" s="10" t="s">
        <v>14</v>
      </c>
      <c r="F211" s="11">
        <v>28000</v>
      </c>
      <c r="G211" s="10">
        <v>760</v>
      </c>
      <c r="H211" s="11">
        <v>300000</v>
      </c>
      <c r="I211" s="10" t="s">
        <v>84</v>
      </c>
      <c r="J211" s="10"/>
    </row>
    <row r="212" spans="1:10" ht="15" customHeight="1" x14ac:dyDescent="0.3">
      <c r="A212" s="10" t="s">
        <v>308</v>
      </c>
      <c r="B212" s="10" t="s">
        <v>167</v>
      </c>
      <c r="C212" s="10" t="s">
        <v>22</v>
      </c>
      <c r="D212" s="10" t="s">
        <v>18</v>
      </c>
      <c r="E212" s="10" t="s">
        <v>14</v>
      </c>
      <c r="F212" s="11">
        <v>65000</v>
      </c>
      <c r="G212" s="10">
        <v>800</v>
      </c>
      <c r="H212" s="11">
        <v>100000</v>
      </c>
      <c r="I212" s="10" t="s">
        <v>84</v>
      </c>
      <c r="J212" s="10"/>
    </row>
    <row r="213" spans="1:10" ht="15" customHeight="1" x14ac:dyDescent="0.3">
      <c r="A213" s="10" t="s">
        <v>309</v>
      </c>
      <c r="B213" s="10" t="s">
        <v>81</v>
      </c>
      <c r="C213" s="10" t="s">
        <v>53</v>
      </c>
      <c r="D213" s="10" t="s">
        <v>60</v>
      </c>
      <c r="E213" s="10" t="s">
        <v>14</v>
      </c>
      <c r="F213" s="11">
        <v>25000</v>
      </c>
      <c r="G213" s="10">
        <v>700</v>
      </c>
      <c r="H213" s="11">
        <v>150000</v>
      </c>
      <c r="I213" s="10" t="s">
        <v>29</v>
      </c>
      <c r="J213" s="10"/>
    </row>
    <row r="214" spans="1:10" ht="15" customHeight="1" x14ac:dyDescent="0.3">
      <c r="A214" s="10" t="s">
        <v>310</v>
      </c>
      <c r="B214" s="10" t="s">
        <v>107</v>
      </c>
      <c r="C214" s="10" t="s">
        <v>22</v>
      </c>
      <c r="D214" s="10" t="s">
        <v>65</v>
      </c>
      <c r="E214" s="10" t="s">
        <v>14</v>
      </c>
      <c r="F214" s="11">
        <v>18000</v>
      </c>
      <c r="G214" s="10">
        <v>670</v>
      </c>
      <c r="H214" s="11">
        <v>50000</v>
      </c>
      <c r="I214" s="10" t="s">
        <v>29</v>
      </c>
      <c r="J214" s="10"/>
    </row>
    <row r="215" spans="1:10" ht="15" customHeight="1" x14ac:dyDescent="0.3">
      <c r="A215" s="10" t="s">
        <v>311</v>
      </c>
      <c r="B215" s="10" t="s">
        <v>97</v>
      </c>
      <c r="C215" s="10" t="s">
        <v>43</v>
      </c>
      <c r="D215" s="10" t="s">
        <v>18</v>
      </c>
      <c r="E215" s="10" t="s">
        <v>14</v>
      </c>
      <c r="F215" s="11">
        <v>65000</v>
      </c>
      <c r="G215" s="10">
        <v>700</v>
      </c>
      <c r="H215" s="11">
        <v>200000</v>
      </c>
      <c r="I215" s="10" t="s">
        <v>29</v>
      </c>
      <c r="J215" s="10"/>
    </row>
    <row r="216" spans="1:10" ht="15" customHeight="1" x14ac:dyDescent="0.3">
      <c r="A216" s="10" t="s">
        <v>312</v>
      </c>
      <c r="B216" s="10" t="s">
        <v>144</v>
      </c>
      <c r="C216" s="10" t="s">
        <v>43</v>
      </c>
      <c r="D216" s="10" t="s">
        <v>32</v>
      </c>
      <c r="E216" s="10" t="s">
        <v>14</v>
      </c>
      <c r="F216" s="11">
        <v>22000</v>
      </c>
      <c r="G216" s="10">
        <v>610</v>
      </c>
      <c r="H216" s="11">
        <v>300000</v>
      </c>
      <c r="I216" s="10" t="s">
        <v>29</v>
      </c>
      <c r="J216" s="10"/>
    </row>
    <row r="217" spans="1:10" ht="15" customHeight="1" x14ac:dyDescent="0.3">
      <c r="A217" s="10" t="s">
        <v>313</v>
      </c>
      <c r="B217" s="10" t="s">
        <v>144</v>
      </c>
      <c r="C217" s="10" t="s">
        <v>22</v>
      </c>
      <c r="D217" s="10" t="s">
        <v>38</v>
      </c>
      <c r="E217" s="10" t="s">
        <v>14</v>
      </c>
      <c r="F217" s="11">
        <v>35000</v>
      </c>
      <c r="G217" s="10">
        <v>700</v>
      </c>
      <c r="H217" s="11">
        <v>150000</v>
      </c>
      <c r="I217" s="10" t="s">
        <v>39</v>
      </c>
      <c r="J217" s="10" t="s">
        <v>212</v>
      </c>
    </row>
    <row r="218" spans="1:10" ht="15" customHeight="1" x14ac:dyDescent="0.3">
      <c r="A218" s="10" t="s">
        <v>314</v>
      </c>
      <c r="B218" s="10" t="s">
        <v>188</v>
      </c>
      <c r="C218" s="10" t="s">
        <v>53</v>
      </c>
      <c r="D218" s="10" t="s">
        <v>38</v>
      </c>
      <c r="E218" s="10" t="s">
        <v>14</v>
      </c>
      <c r="F218" s="11">
        <v>45000</v>
      </c>
      <c r="G218" s="10">
        <v>650</v>
      </c>
      <c r="H218" s="11">
        <v>300000</v>
      </c>
      <c r="I218" s="10" t="s">
        <v>56</v>
      </c>
      <c r="J218" s="10"/>
    </row>
    <row r="219" spans="1:10" ht="15" customHeight="1" x14ac:dyDescent="0.3">
      <c r="A219" s="10" t="s">
        <v>315</v>
      </c>
      <c r="B219" s="10" t="s">
        <v>76</v>
      </c>
      <c r="C219" s="10" t="s">
        <v>26</v>
      </c>
      <c r="D219" s="10" t="s">
        <v>27</v>
      </c>
      <c r="E219" s="10" t="s">
        <v>28</v>
      </c>
      <c r="F219" s="11">
        <v>65000</v>
      </c>
      <c r="G219" s="10">
        <v>780</v>
      </c>
      <c r="H219" s="11">
        <v>150000</v>
      </c>
      <c r="I219" s="10" t="s">
        <v>181</v>
      </c>
      <c r="J219" s="10"/>
    </row>
    <row r="220" spans="1:10" ht="15" customHeight="1" x14ac:dyDescent="0.3">
      <c r="A220" s="10" t="s">
        <v>316</v>
      </c>
      <c r="B220" s="10" t="s">
        <v>34</v>
      </c>
      <c r="C220" s="10" t="s">
        <v>53</v>
      </c>
      <c r="D220" s="10" t="s">
        <v>32</v>
      </c>
      <c r="E220" s="10" t="s">
        <v>28</v>
      </c>
      <c r="F220" s="11">
        <v>22000</v>
      </c>
      <c r="G220" s="10">
        <v>650</v>
      </c>
      <c r="H220" s="11">
        <v>75000</v>
      </c>
      <c r="I220" s="10" t="s">
        <v>29</v>
      </c>
      <c r="J220" s="10"/>
    </row>
    <row r="221" spans="1:10" ht="15" customHeight="1" x14ac:dyDescent="0.3">
      <c r="A221" s="10" t="s">
        <v>317</v>
      </c>
      <c r="B221" s="10" t="s">
        <v>140</v>
      </c>
      <c r="C221" s="10" t="s">
        <v>35</v>
      </c>
      <c r="D221" s="10" t="s">
        <v>38</v>
      </c>
      <c r="E221" s="10" t="s">
        <v>28</v>
      </c>
      <c r="F221" s="11">
        <v>45000</v>
      </c>
      <c r="G221" s="10">
        <v>580</v>
      </c>
      <c r="H221" s="11">
        <v>200000</v>
      </c>
      <c r="I221" s="10" t="s">
        <v>23</v>
      </c>
      <c r="J221" s="10"/>
    </row>
    <row r="222" spans="1:10" ht="15" customHeight="1" x14ac:dyDescent="0.3">
      <c r="A222" s="10" t="s">
        <v>318</v>
      </c>
      <c r="B222" s="10" t="s">
        <v>74</v>
      </c>
      <c r="C222" s="10" t="s">
        <v>53</v>
      </c>
      <c r="D222" s="10" t="s">
        <v>13</v>
      </c>
      <c r="E222" s="10" t="s">
        <v>14</v>
      </c>
      <c r="F222" s="11">
        <v>28000</v>
      </c>
      <c r="G222" s="10">
        <v>740</v>
      </c>
      <c r="H222" s="11">
        <v>75000</v>
      </c>
      <c r="I222" s="10" t="s">
        <v>29</v>
      </c>
      <c r="J222" s="10"/>
    </row>
    <row r="223" spans="1:10" ht="15" customHeight="1" x14ac:dyDescent="0.3">
      <c r="A223" s="10" t="s">
        <v>319</v>
      </c>
      <c r="B223" s="10" t="s">
        <v>101</v>
      </c>
      <c r="C223" s="10" t="s">
        <v>26</v>
      </c>
      <c r="D223" s="10" t="s">
        <v>13</v>
      </c>
      <c r="E223" s="10" t="s">
        <v>14</v>
      </c>
      <c r="F223" s="11">
        <v>40000</v>
      </c>
      <c r="G223" s="10">
        <v>700</v>
      </c>
      <c r="H223" s="11">
        <v>150000</v>
      </c>
      <c r="I223" s="10" t="s">
        <v>29</v>
      </c>
      <c r="J223" s="10"/>
    </row>
    <row r="224" spans="1:10" ht="15" customHeight="1" x14ac:dyDescent="0.3">
      <c r="A224" s="10" t="s">
        <v>320</v>
      </c>
      <c r="B224" s="10" t="s">
        <v>86</v>
      </c>
      <c r="C224" s="10" t="s">
        <v>26</v>
      </c>
      <c r="D224" s="10" t="s">
        <v>18</v>
      </c>
      <c r="E224" s="10" t="s">
        <v>28</v>
      </c>
      <c r="F224" s="11">
        <v>25000</v>
      </c>
      <c r="G224" s="10">
        <v>720</v>
      </c>
      <c r="H224" s="11">
        <v>100000</v>
      </c>
      <c r="I224" s="10" t="s">
        <v>181</v>
      </c>
      <c r="J224" s="10"/>
    </row>
    <row r="225" spans="1:10" ht="15" customHeight="1" x14ac:dyDescent="0.3">
      <c r="A225" s="10" t="s">
        <v>321</v>
      </c>
      <c r="B225" s="10" t="s">
        <v>88</v>
      </c>
      <c r="C225" s="10" t="s">
        <v>35</v>
      </c>
      <c r="D225" s="10" t="s">
        <v>44</v>
      </c>
      <c r="E225" s="10" t="s">
        <v>14</v>
      </c>
      <c r="F225" s="11">
        <v>65000</v>
      </c>
      <c r="G225" s="10">
        <v>700</v>
      </c>
      <c r="H225" s="11">
        <v>75000</v>
      </c>
      <c r="I225" s="10" t="s">
        <v>29</v>
      </c>
      <c r="J225" s="10"/>
    </row>
    <row r="226" spans="1:10" ht="15" customHeight="1" x14ac:dyDescent="0.3">
      <c r="A226" s="10" t="s">
        <v>322</v>
      </c>
      <c r="B226" s="10" t="s">
        <v>34</v>
      </c>
      <c r="C226" s="10" t="s">
        <v>53</v>
      </c>
      <c r="D226" s="10" t="s">
        <v>38</v>
      </c>
      <c r="E226" s="10" t="s">
        <v>14</v>
      </c>
      <c r="F226" s="11">
        <v>40000</v>
      </c>
      <c r="G226" s="10">
        <v>740</v>
      </c>
      <c r="H226" s="11">
        <v>50000</v>
      </c>
      <c r="I226" s="10" t="s">
        <v>39</v>
      </c>
      <c r="J226" s="10" t="s">
        <v>95</v>
      </c>
    </row>
    <row r="227" spans="1:10" ht="15" customHeight="1" x14ac:dyDescent="0.3">
      <c r="A227" s="10" t="s">
        <v>323</v>
      </c>
      <c r="B227" s="10" t="s">
        <v>101</v>
      </c>
      <c r="C227" s="10" t="s">
        <v>22</v>
      </c>
      <c r="D227" s="10" t="s">
        <v>65</v>
      </c>
      <c r="E227" s="10" t="s">
        <v>28</v>
      </c>
      <c r="F227" s="11">
        <v>18000</v>
      </c>
      <c r="G227" s="10">
        <v>670</v>
      </c>
      <c r="H227" s="11">
        <v>50000</v>
      </c>
      <c r="I227" s="10" t="s">
        <v>56</v>
      </c>
      <c r="J227" s="10"/>
    </row>
    <row r="228" spans="1:10" ht="15" customHeight="1" x14ac:dyDescent="0.3">
      <c r="A228" s="10" t="s">
        <v>324</v>
      </c>
      <c r="B228" s="10" t="s">
        <v>109</v>
      </c>
      <c r="C228" s="10" t="s">
        <v>22</v>
      </c>
      <c r="D228" s="10" t="s">
        <v>32</v>
      </c>
      <c r="E228" s="10" t="s">
        <v>28</v>
      </c>
      <c r="F228" s="11">
        <v>18000</v>
      </c>
      <c r="G228" s="10">
        <v>580</v>
      </c>
      <c r="H228" s="11">
        <v>150000</v>
      </c>
      <c r="I228" s="10" t="s">
        <v>29</v>
      </c>
      <c r="J228" s="10"/>
    </row>
    <row r="229" spans="1:10" ht="15" customHeight="1" x14ac:dyDescent="0.3">
      <c r="A229" s="10" t="s">
        <v>325</v>
      </c>
      <c r="B229" s="10" t="s">
        <v>134</v>
      </c>
      <c r="C229" s="10" t="s">
        <v>43</v>
      </c>
      <c r="D229" s="10" t="s">
        <v>70</v>
      </c>
      <c r="E229" s="10" t="s">
        <v>14</v>
      </c>
      <c r="F229" s="11">
        <v>22000</v>
      </c>
      <c r="G229" s="10">
        <v>670</v>
      </c>
      <c r="H229" s="11">
        <v>200000</v>
      </c>
      <c r="I229" s="10" t="s">
        <v>84</v>
      </c>
      <c r="J229" s="10"/>
    </row>
    <row r="230" spans="1:10" ht="15" customHeight="1" x14ac:dyDescent="0.3">
      <c r="A230" s="10" t="s">
        <v>326</v>
      </c>
      <c r="B230" s="10" t="s">
        <v>48</v>
      </c>
      <c r="C230" s="10" t="s">
        <v>22</v>
      </c>
      <c r="D230" s="10" t="s">
        <v>92</v>
      </c>
      <c r="E230" s="10" t="s">
        <v>28</v>
      </c>
      <c r="F230" s="11">
        <v>22000</v>
      </c>
      <c r="G230" s="10">
        <v>800</v>
      </c>
      <c r="H230" s="11">
        <v>200000</v>
      </c>
      <c r="I230" s="10" t="s">
        <v>39</v>
      </c>
      <c r="J230" s="10" t="s">
        <v>46</v>
      </c>
    </row>
    <row r="231" spans="1:10" ht="15" customHeight="1" x14ac:dyDescent="0.3">
      <c r="A231" s="10" t="s">
        <v>327</v>
      </c>
      <c r="B231" s="10" t="s">
        <v>48</v>
      </c>
      <c r="C231" s="10" t="s">
        <v>35</v>
      </c>
      <c r="D231" s="10" t="s">
        <v>18</v>
      </c>
      <c r="E231" s="10" t="s">
        <v>14</v>
      </c>
      <c r="F231" s="11">
        <v>35000</v>
      </c>
      <c r="G231" s="10">
        <v>740</v>
      </c>
      <c r="H231" s="11">
        <v>150000</v>
      </c>
      <c r="I231" s="10" t="s">
        <v>19</v>
      </c>
      <c r="J231" s="10"/>
    </row>
    <row r="232" spans="1:10" ht="15" customHeight="1" x14ac:dyDescent="0.3">
      <c r="A232" s="10" t="s">
        <v>328</v>
      </c>
      <c r="B232" s="10" t="s">
        <v>37</v>
      </c>
      <c r="C232" s="10" t="s">
        <v>53</v>
      </c>
      <c r="D232" s="10" t="s">
        <v>70</v>
      </c>
      <c r="E232" s="10" t="s">
        <v>28</v>
      </c>
      <c r="F232" s="11">
        <v>18000</v>
      </c>
      <c r="G232" s="10">
        <v>700</v>
      </c>
      <c r="H232" s="11">
        <v>250000</v>
      </c>
      <c r="I232" s="10" t="s">
        <v>56</v>
      </c>
      <c r="J232" s="10"/>
    </row>
    <row r="233" spans="1:10" ht="15" customHeight="1" x14ac:dyDescent="0.3">
      <c r="A233" s="10" t="s">
        <v>329</v>
      </c>
      <c r="B233" s="10" t="s">
        <v>257</v>
      </c>
      <c r="C233" s="10" t="s">
        <v>35</v>
      </c>
      <c r="D233" s="10" t="s">
        <v>92</v>
      </c>
      <c r="E233" s="10" t="s">
        <v>28</v>
      </c>
      <c r="F233" s="11">
        <v>22000</v>
      </c>
      <c r="G233" s="10" t="s">
        <v>45</v>
      </c>
      <c r="H233" s="11">
        <v>100000</v>
      </c>
      <c r="I233" s="10" t="s">
        <v>84</v>
      </c>
      <c r="J233" s="10"/>
    </row>
    <row r="234" spans="1:10" ht="15" customHeight="1" x14ac:dyDescent="0.3">
      <c r="A234" s="10" t="s">
        <v>330</v>
      </c>
      <c r="B234" s="10" t="s">
        <v>116</v>
      </c>
      <c r="C234" s="10" t="s">
        <v>12</v>
      </c>
      <c r="D234" s="10" t="s">
        <v>65</v>
      </c>
      <c r="E234" s="10" t="s">
        <v>28</v>
      </c>
      <c r="F234" s="11">
        <v>40000</v>
      </c>
      <c r="G234" s="10">
        <v>800</v>
      </c>
      <c r="H234" s="11">
        <v>75000</v>
      </c>
      <c r="I234" s="10" t="s">
        <v>15</v>
      </c>
      <c r="J234" s="10"/>
    </row>
    <row r="235" spans="1:10" ht="15" customHeight="1" x14ac:dyDescent="0.3">
      <c r="A235" s="10" t="s">
        <v>331</v>
      </c>
      <c r="B235" s="10" t="s">
        <v>88</v>
      </c>
      <c r="C235" s="10" t="s">
        <v>12</v>
      </c>
      <c r="D235" s="10" t="s">
        <v>38</v>
      </c>
      <c r="E235" s="10" t="s">
        <v>14</v>
      </c>
      <c r="F235" s="11">
        <v>28000</v>
      </c>
      <c r="G235" s="10">
        <v>650</v>
      </c>
      <c r="H235" s="11">
        <v>75000</v>
      </c>
      <c r="I235" s="10" t="s">
        <v>19</v>
      </c>
      <c r="J235" s="10"/>
    </row>
    <row r="236" spans="1:10" ht="15" customHeight="1" x14ac:dyDescent="0.3">
      <c r="A236" s="10" t="s">
        <v>332</v>
      </c>
      <c r="B236" s="10" t="s">
        <v>69</v>
      </c>
      <c r="C236" s="10" t="s">
        <v>53</v>
      </c>
      <c r="D236" s="10" t="s">
        <v>60</v>
      </c>
      <c r="E236" s="10" t="s">
        <v>28</v>
      </c>
      <c r="F236" s="11">
        <v>45000</v>
      </c>
      <c r="G236" s="10">
        <v>740</v>
      </c>
      <c r="H236" s="11">
        <v>300000</v>
      </c>
      <c r="I236" s="10" t="s">
        <v>56</v>
      </c>
      <c r="J236" s="10"/>
    </row>
    <row r="237" spans="1:10" ht="15" customHeight="1" x14ac:dyDescent="0.3">
      <c r="A237" s="10" t="s">
        <v>333</v>
      </c>
      <c r="B237" s="10" t="s">
        <v>300</v>
      </c>
      <c r="C237" s="10" t="s">
        <v>22</v>
      </c>
      <c r="D237" s="10" t="s">
        <v>60</v>
      </c>
      <c r="E237" s="10" t="s">
        <v>28</v>
      </c>
      <c r="F237" s="11">
        <v>15000</v>
      </c>
      <c r="G237" s="10">
        <v>800</v>
      </c>
      <c r="H237" s="11">
        <v>50000</v>
      </c>
      <c r="I237" s="10" t="s">
        <v>56</v>
      </c>
      <c r="J237" s="10"/>
    </row>
    <row r="238" spans="1:10" ht="15" customHeight="1" x14ac:dyDescent="0.3">
      <c r="A238" s="10" t="s">
        <v>334</v>
      </c>
      <c r="B238" s="10" t="s">
        <v>121</v>
      </c>
      <c r="C238" s="10" t="s">
        <v>53</v>
      </c>
      <c r="D238" s="10" t="s">
        <v>32</v>
      </c>
      <c r="E238" s="10" t="s">
        <v>28</v>
      </c>
      <c r="F238" s="11">
        <v>40000</v>
      </c>
      <c r="G238" s="10">
        <v>720</v>
      </c>
      <c r="H238" s="11">
        <v>75000</v>
      </c>
      <c r="I238" s="10" t="s">
        <v>56</v>
      </c>
      <c r="J238" s="10"/>
    </row>
    <row r="239" spans="1:10" ht="15" customHeight="1" x14ac:dyDescent="0.3">
      <c r="A239" s="10" t="s">
        <v>335</v>
      </c>
      <c r="B239" s="10" t="s">
        <v>158</v>
      </c>
      <c r="C239" s="10" t="s">
        <v>12</v>
      </c>
      <c r="D239" s="10" t="s">
        <v>38</v>
      </c>
      <c r="E239" s="10" t="s">
        <v>28</v>
      </c>
      <c r="F239" s="11">
        <v>45000</v>
      </c>
      <c r="G239" s="10">
        <v>670</v>
      </c>
      <c r="H239" s="11">
        <v>250000</v>
      </c>
      <c r="I239" s="10" t="s">
        <v>29</v>
      </c>
      <c r="J239" s="10"/>
    </row>
    <row r="240" spans="1:10" ht="15" customHeight="1" x14ac:dyDescent="0.3">
      <c r="A240" s="10" t="s">
        <v>336</v>
      </c>
      <c r="B240" s="10" t="s">
        <v>58</v>
      </c>
      <c r="C240" s="10" t="s">
        <v>35</v>
      </c>
      <c r="D240" s="10" t="s">
        <v>32</v>
      </c>
      <c r="E240" s="10" t="s">
        <v>14</v>
      </c>
      <c r="F240" s="11">
        <v>45000</v>
      </c>
      <c r="G240" s="10">
        <v>670</v>
      </c>
      <c r="H240" s="11">
        <v>50000</v>
      </c>
      <c r="I240" s="10" t="s">
        <v>56</v>
      </c>
      <c r="J240" s="10"/>
    </row>
    <row r="241" spans="1:10" ht="15" customHeight="1" x14ac:dyDescent="0.3">
      <c r="A241" s="10" t="s">
        <v>337</v>
      </c>
      <c r="B241" s="10" t="s">
        <v>55</v>
      </c>
      <c r="C241" s="10" t="s">
        <v>12</v>
      </c>
      <c r="D241" s="10" t="s">
        <v>60</v>
      </c>
      <c r="E241" s="10" t="s">
        <v>28</v>
      </c>
      <c r="F241" s="11">
        <v>40000</v>
      </c>
      <c r="G241" s="10">
        <v>780</v>
      </c>
      <c r="H241" s="11">
        <v>75000</v>
      </c>
      <c r="I241" s="10" t="s">
        <v>23</v>
      </c>
      <c r="J241" s="10"/>
    </row>
    <row r="242" spans="1:10" ht="15" customHeight="1" x14ac:dyDescent="0.3">
      <c r="A242" s="10" t="s">
        <v>338</v>
      </c>
      <c r="B242" s="10" t="s">
        <v>136</v>
      </c>
      <c r="C242" s="10" t="s">
        <v>26</v>
      </c>
      <c r="D242" s="10" t="s">
        <v>44</v>
      </c>
      <c r="E242" s="10" t="s">
        <v>28</v>
      </c>
      <c r="F242" s="11">
        <v>15000</v>
      </c>
      <c r="G242" s="10">
        <v>700</v>
      </c>
      <c r="H242" s="11">
        <v>150000</v>
      </c>
      <c r="I242" s="10" t="s">
        <v>39</v>
      </c>
      <c r="J242" s="10" t="s">
        <v>46</v>
      </c>
    </row>
    <row r="243" spans="1:10" ht="15" customHeight="1" x14ac:dyDescent="0.3">
      <c r="A243" s="10" t="s">
        <v>339</v>
      </c>
      <c r="B243" s="10" t="s">
        <v>300</v>
      </c>
      <c r="C243" s="10" t="s">
        <v>12</v>
      </c>
      <c r="D243" s="10" t="s">
        <v>70</v>
      </c>
      <c r="E243" s="10" t="s">
        <v>14</v>
      </c>
      <c r="F243" s="11">
        <v>65000</v>
      </c>
      <c r="G243" s="10">
        <v>800</v>
      </c>
      <c r="H243" s="11">
        <v>200000</v>
      </c>
      <c r="I243" s="10" t="s">
        <v>84</v>
      </c>
      <c r="J243" s="10"/>
    </row>
    <row r="244" spans="1:10" ht="15" customHeight="1" x14ac:dyDescent="0.3">
      <c r="A244" s="10" t="s">
        <v>340</v>
      </c>
      <c r="B244" s="10" t="s">
        <v>88</v>
      </c>
      <c r="C244" s="10" t="s">
        <v>12</v>
      </c>
      <c r="D244" s="10" t="s">
        <v>65</v>
      </c>
      <c r="E244" s="10" t="s">
        <v>14</v>
      </c>
      <c r="F244" s="11">
        <v>22000</v>
      </c>
      <c r="G244" s="10">
        <v>780</v>
      </c>
      <c r="H244" s="11">
        <v>150000</v>
      </c>
      <c r="I244" s="10" t="s">
        <v>39</v>
      </c>
      <c r="J244" s="10" t="s">
        <v>46</v>
      </c>
    </row>
    <row r="245" spans="1:10" ht="15" customHeight="1" x14ac:dyDescent="0.3">
      <c r="A245" s="10" t="s">
        <v>341</v>
      </c>
      <c r="B245" s="10" t="s">
        <v>88</v>
      </c>
      <c r="C245" s="10" t="s">
        <v>22</v>
      </c>
      <c r="D245" s="10" t="s">
        <v>13</v>
      </c>
      <c r="E245" s="10" t="s">
        <v>14</v>
      </c>
      <c r="F245" s="11">
        <v>65000</v>
      </c>
      <c r="G245" s="10">
        <v>700</v>
      </c>
      <c r="H245" s="11">
        <v>200000</v>
      </c>
      <c r="I245" s="10" t="s">
        <v>84</v>
      </c>
      <c r="J245" s="10"/>
    </row>
    <row r="246" spans="1:10" ht="15" customHeight="1" x14ac:dyDescent="0.3">
      <c r="A246" s="10" t="s">
        <v>342</v>
      </c>
      <c r="B246" s="10" t="s">
        <v>176</v>
      </c>
      <c r="C246" s="10" t="s">
        <v>43</v>
      </c>
      <c r="D246" s="10" t="s">
        <v>65</v>
      </c>
      <c r="E246" s="10" t="s">
        <v>28</v>
      </c>
      <c r="F246" s="11">
        <v>32000</v>
      </c>
      <c r="G246" s="10">
        <v>700</v>
      </c>
      <c r="H246" s="11">
        <v>50000</v>
      </c>
      <c r="I246" s="10" t="s">
        <v>84</v>
      </c>
      <c r="J246" s="10"/>
    </row>
    <row r="247" spans="1:10" ht="15" customHeight="1" x14ac:dyDescent="0.3">
      <c r="A247" s="10" t="s">
        <v>343</v>
      </c>
      <c r="B247" s="10" t="s">
        <v>167</v>
      </c>
      <c r="C247" s="10" t="s">
        <v>22</v>
      </c>
      <c r="D247" s="10" t="s">
        <v>18</v>
      </c>
      <c r="E247" s="10" t="s">
        <v>28</v>
      </c>
      <c r="F247" s="11">
        <v>35000</v>
      </c>
      <c r="G247" s="10">
        <v>700</v>
      </c>
      <c r="H247" s="11">
        <v>50000</v>
      </c>
      <c r="I247" s="10" t="s">
        <v>39</v>
      </c>
      <c r="J247" s="10" t="s">
        <v>28</v>
      </c>
    </row>
    <row r="248" spans="1:10" ht="15" customHeight="1" x14ac:dyDescent="0.3">
      <c r="A248" s="10" t="s">
        <v>344</v>
      </c>
      <c r="B248" s="10" t="s">
        <v>34</v>
      </c>
      <c r="C248" s="10" t="s">
        <v>12</v>
      </c>
      <c r="D248" s="10" t="s">
        <v>65</v>
      </c>
      <c r="E248" s="10" t="s">
        <v>28</v>
      </c>
      <c r="F248" s="11">
        <v>45000</v>
      </c>
      <c r="G248" s="10">
        <v>720</v>
      </c>
      <c r="H248" s="11">
        <v>50000</v>
      </c>
      <c r="I248" s="10" t="s">
        <v>29</v>
      </c>
      <c r="J248" s="10"/>
    </row>
    <row r="249" spans="1:10" ht="15" customHeight="1" x14ac:dyDescent="0.3">
      <c r="A249" s="10" t="s">
        <v>345</v>
      </c>
      <c r="B249" s="10" t="s">
        <v>81</v>
      </c>
      <c r="C249" s="10" t="s">
        <v>53</v>
      </c>
      <c r="D249" s="10" t="s">
        <v>38</v>
      </c>
      <c r="E249" s="10" t="s">
        <v>14</v>
      </c>
      <c r="F249" s="11">
        <v>55000</v>
      </c>
      <c r="G249" s="10">
        <v>670</v>
      </c>
      <c r="H249" s="11">
        <v>150000</v>
      </c>
      <c r="I249" s="10" t="s">
        <v>23</v>
      </c>
      <c r="J249" s="10"/>
    </row>
    <row r="250" spans="1:10" ht="15" customHeight="1" x14ac:dyDescent="0.3">
      <c r="A250" s="10" t="s">
        <v>346</v>
      </c>
      <c r="B250" s="10" t="s">
        <v>151</v>
      </c>
      <c r="C250" s="10" t="s">
        <v>35</v>
      </c>
      <c r="D250" s="10" t="s">
        <v>65</v>
      </c>
      <c r="E250" s="10" t="s">
        <v>14</v>
      </c>
      <c r="F250" s="11">
        <v>40000</v>
      </c>
      <c r="G250" s="10">
        <v>610</v>
      </c>
      <c r="H250" s="11">
        <v>150000</v>
      </c>
      <c r="I250" s="10" t="s">
        <v>29</v>
      </c>
      <c r="J250" s="10"/>
    </row>
    <row r="251" spans="1:10" ht="15" customHeight="1" x14ac:dyDescent="0.3">
      <c r="A251" s="10" t="s">
        <v>347</v>
      </c>
      <c r="B251" s="10" t="s">
        <v>52</v>
      </c>
      <c r="C251" s="10" t="s">
        <v>12</v>
      </c>
      <c r="D251" s="10" t="s">
        <v>44</v>
      </c>
      <c r="E251" s="10" t="s">
        <v>28</v>
      </c>
      <c r="F251" s="11">
        <v>18000</v>
      </c>
      <c r="G251" s="10">
        <v>760</v>
      </c>
      <c r="H251" s="11">
        <v>100000</v>
      </c>
      <c r="I251" s="10" t="s">
        <v>49</v>
      </c>
      <c r="J251" s="10" t="s">
        <v>46</v>
      </c>
    </row>
    <row r="252" spans="1:10" ht="15" customHeight="1" x14ac:dyDescent="0.3">
      <c r="A252" s="10" t="s">
        <v>348</v>
      </c>
      <c r="B252" s="10" t="s">
        <v>188</v>
      </c>
      <c r="C252" s="10" t="s">
        <v>12</v>
      </c>
      <c r="D252" s="10" t="s">
        <v>65</v>
      </c>
      <c r="E252" s="10" t="s">
        <v>28</v>
      </c>
      <c r="F252" s="11">
        <v>45000</v>
      </c>
      <c r="G252" s="10">
        <v>650</v>
      </c>
      <c r="H252" s="11">
        <v>75000</v>
      </c>
      <c r="I252" s="10" t="s">
        <v>15</v>
      </c>
      <c r="J252" s="10"/>
    </row>
    <row r="253" spans="1:10" ht="15" customHeight="1" x14ac:dyDescent="0.3">
      <c r="A253" s="10" t="s">
        <v>349</v>
      </c>
      <c r="B253" s="10" t="s">
        <v>103</v>
      </c>
      <c r="C253" s="10" t="s">
        <v>22</v>
      </c>
      <c r="D253" s="10" t="s">
        <v>27</v>
      </c>
      <c r="E253" s="10" t="s">
        <v>28</v>
      </c>
      <c r="F253" s="11">
        <v>15000</v>
      </c>
      <c r="G253" s="10">
        <v>700</v>
      </c>
      <c r="H253" s="11">
        <v>100000</v>
      </c>
      <c r="I253" s="10" t="s">
        <v>39</v>
      </c>
      <c r="J253" s="10" t="s">
        <v>46</v>
      </c>
    </row>
    <row r="254" spans="1:10" ht="15" customHeight="1" x14ac:dyDescent="0.3">
      <c r="A254" s="10" t="s">
        <v>350</v>
      </c>
      <c r="B254" s="10" t="s">
        <v>72</v>
      </c>
      <c r="C254" s="10" t="s">
        <v>43</v>
      </c>
      <c r="D254" s="10" t="s">
        <v>65</v>
      </c>
      <c r="E254" s="10" t="s">
        <v>14</v>
      </c>
      <c r="F254" s="11">
        <v>18000</v>
      </c>
      <c r="G254" s="10">
        <v>670</v>
      </c>
      <c r="H254" s="11">
        <v>250000</v>
      </c>
      <c r="I254" s="10" t="s">
        <v>84</v>
      </c>
      <c r="J254" s="10"/>
    </row>
    <row r="255" spans="1:10" ht="15" customHeight="1" x14ac:dyDescent="0.3">
      <c r="A255" s="10" t="s">
        <v>351</v>
      </c>
      <c r="B255" s="10" t="s">
        <v>69</v>
      </c>
      <c r="C255" s="10" t="s">
        <v>26</v>
      </c>
      <c r="D255" s="10" t="s">
        <v>18</v>
      </c>
      <c r="E255" s="10" t="s">
        <v>28</v>
      </c>
      <c r="F255" s="11">
        <v>35000</v>
      </c>
      <c r="G255" s="10">
        <v>780</v>
      </c>
      <c r="H255" s="11">
        <v>100000</v>
      </c>
      <c r="I255" s="10" t="s">
        <v>15</v>
      </c>
      <c r="J255" s="10"/>
    </row>
    <row r="256" spans="1:10" ht="15" customHeight="1" x14ac:dyDescent="0.3">
      <c r="A256" s="10" t="s">
        <v>352</v>
      </c>
      <c r="B256" s="10" t="s">
        <v>76</v>
      </c>
      <c r="C256" s="10" t="s">
        <v>35</v>
      </c>
      <c r="D256" s="10" t="s">
        <v>38</v>
      </c>
      <c r="E256" s="10" t="s">
        <v>28</v>
      </c>
      <c r="F256" s="11">
        <v>65000</v>
      </c>
      <c r="G256" s="10">
        <v>760</v>
      </c>
      <c r="H256" s="11">
        <v>300000</v>
      </c>
      <c r="I256" s="10" t="s">
        <v>56</v>
      </c>
      <c r="J256" s="10"/>
    </row>
    <row r="257" spans="1:10" ht="15" customHeight="1" x14ac:dyDescent="0.3">
      <c r="A257" s="10" t="s">
        <v>353</v>
      </c>
      <c r="B257" s="10" t="s">
        <v>101</v>
      </c>
      <c r="C257" s="10" t="s">
        <v>43</v>
      </c>
      <c r="D257" s="10" t="s">
        <v>92</v>
      </c>
      <c r="E257" s="10" t="s">
        <v>14</v>
      </c>
      <c r="F257" s="11">
        <v>22000</v>
      </c>
      <c r="G257" s="10">
        <v>720</v>
      </c>
      <c r="H257" s="11">
        <v>300000</v>
      </c>
      <c r="I257" s="10" t="s">
        <v>49</v>
      </c>
      <c r="J257" s="10" t="s">
        <v>46</v>
      </c>
    </row>
    <row r="258" spans="1:10" ht="15" customHeight="1" x14ac:dyDescent="0.3">
      <c r="A258" s="10" t="s">
        <v>354</v>
      </c>
      <c r="B258" s="10" t="s">
        <v>86</v>
      </c>
      <c r="C258" s="10" t="s">
        <v>35</v>
      </c>
      <c r="D258" s="10" t="s">
        <v>18</v>
      </c>
      <c r="E258" s="10" t="s">
        <v>14</v>
      </c>
      <c r="F258" s="11">
        <v>28000</v>
      </c>
      <c r="G258" s="10">
        <v>610</v>
      </c>
      <c r="H258" s="11">
        <v>250000</v>
      </c>
      <c r="I258" s="10" t="s">
        <v>15</v>
      </c>
      <c r="J258" s="10"/>
    </row>
    <row r="259" spans="1:10" ht="15" customHeight="1" x14ac:dyDescent="0.3">
      <c r="A259" s="10" t="s">
        <v>355</v>
      </c>
      <c r="B259" s="10" t="s">
        <v>136</v>
      </c>
      <c r="C259" s="10" t="s">
        <v>53</v>
      </c>
      <c r="D259" s="10" t="s">
        <v>18</v>
      </c>
      <c r="E259" s="10" t="s">
        <v>28</v>
      </c>
      <c r="F259" s="11">
        <v>18000</v>
      </c>
      <c r="G259" s="10">
        <v>670</v>
      </c>
      <c r="H259" s="11">
        <v>200000</v>
      </c>
      <c r="I259" s="10" t="s">
        <v>15</v>
      </c>
      <c r="J259" s="10"/>
    </row>
    <row r="260" spans="1:10" ht="15" customHeight="1" x14ac:dyDescent="0.3">
      <c r="A260" s="10" t="s">
        <v>356</v>
      </c>
      <c r="B260" s="10" t="s">
        <v>199</v>
      </c>
      <c r="C260" s="10" t="s">
        <v>22</v>
      </c>
      <c r="D260" s="10" t="s">
        <v>60</v>
      </c>
      <c r="E260" s="10" t="s">
        <v>14</v>
      </c>
      <c r="F260" s="11">
        <v>45000</v>
      </c>
      <c r="G260" s="10">
        <v>800</v>
      </c>
      <c r="H260" s="11">
        <v>200000</v>
      </c>
      <c r="I260" s="10" t="s">
        <v>15</v>
      </c>
      <c r="J260" s="10"/>
    </row>
    <row r="261" spans="1:10" ht="15" customHeight="1" x14ac:dyDescent="0.3">
      <c r="A261" s="10" t="s">
        <v>357</v>
      </c>
      <c r="B261" s="10" t="s">
        <v>151</v>
      </c>
      <c r="C261" s="10" t="s">
        <v>22</v>
      </c>
      <c r="D261" s="10" t="s">
        <v>92</v>
      </c>
      <c r="E261" s="10" t="s">
        <v>28</v>
      </c>
      <c r="F261" s="11">
        <v>55000</v>
      </c>
      <c r="G261" s="10" t="s">
        <v>45</v>
      </c>
      <c r="H261" s="11">
        <v>50000</v>
      </c>
      <c r="I261" s="10" t="s">
        <v>29</v>
      </c>
      <c r="J261" s="10"/>
    </row>
    <row r="262" spans="1:10" ht="15" customHeight="1" x14ac:dyDescent="0.3">
      <c r="A262" s="10" t="s">
        <v>358</v>
      </c>
      <c r="B262" s="10" t="s">
        <v>144</v>
      </c>
      <c r="C262" s="10" t="s">
        <v>35</v>
      </c>
      <c r="D262" s="10" t="s">
        <v>92</v>
      </c>
      <c r="E262" s="10" t="s">
        <v>28</v>
      </c>
      <c r="F262" s="11">
        <v>65000</v>
      </c>
      <c r="G262" s="10">
        <v>650</v>
      </c>
      <c r="H262" s="11">
        <v>150000</v>
      </c>
      <c r="I262" s="10" t="s">
        <v>29</v>
      </c>
      <c r="J262" s="10"/>
    </row>
    <row r="263" spans="1:10" ht="15" customHeight="1" x14ac:dyDescent="0.3">
      <c r="A263" s="10" t="s">
        <v>359</v>
      </c>
      <c r="B263" s="10" t="s">
        <v>153</v>
      </c>
      <c r="C263" s="10" t="s">
        <v>12</v>
      </c>
      <c r="D263" s="10" t="s">
        <v>70</v>
      </c>
      <c r="E263" s="10" t="s">
        <v>28</v>
      </c>
      <c r="F263" s="11">
        <v>65000</v>
      </c>
      <c r="G263" s="10">
        <v>760</v>
      </c>
      <c r="H263" s="11">
        <v>100000</v>
      </c>
      <c r="I263" s="10" t="s">
        <v>56</v>
      </c>
      <c r="J263" s="10"/>
    </row>
    <row r="264" spans="1:10" ht="15" customHeight="1" x14ac:dyDescent="0.3">
      <c r="A264" s="10" t="s">
        <v>360</v>
      </c>
      <c r="B264" s="10" t="s">
        <v>83</v>
      </c>
      <c r="C264" s="10" t="s">
        <v>22</v>
      </c>
      <c r="D264" s="10" t="s">
        <v>32</v>
      </c>
      <c r="E264" s="10" t="s">
        <v>28</v>
      </c>
      <c r="F264" s="11">
        <v>40000</v>
      </c>
      <c r="G264" s="10">
        <v>580</v>
      </c>
      <c r="H264" s="11">
        <v>75000</v>
      </c>
      <c r="I264" s="10" t="s">
        <v>23</v>
      </c>
      <c r="J264" s="10"/>
    </row>
    <row r="265" spans="1:10" ht="15" customHeight="1" x14ac:dyDescent="0.3">
      <c r="A265" s="10" t="s">
        <v>361</v>
      </c>
      <c r="B265" s="10" t="s">
        <v>58</v>
      </c>
      <c r="C265" s="10" t="s">
        <v>26</v>
      </c>
      <c r="D265" s="10" t="s">
        <v>38</v>
      </c>
      <c r="E265" s="10" t="s">
        <v>28</v>
      </c>
      <c r="F265" s="11">
        <v>25000</v>
      </c>
      <c r="G265" s="10">
        <v>700</v>
      </c>
      <c r="H265" s="11">
        <v>250000</v>
      </c>
      <c r="I265" s="10" t="s">
        <v>39</v>
      </c>
      <c r="J265" s="10" t="s">
        <v>28</v>
      </c>
    </row>
    <row r="266" spans="1:10" ht="15" customHeight="1" x14ac:dyDescent="0.3">
      <c r="A266" s="10" t="s">
        <v>362</v>
      </c>
      <c r="B266" s="10" t="s">
        <v>58</v>
      </c>
      <c r="C266" s="10" t="s">
        <v>12</v>
      </c>
      <c r="D266" s="10" t="s">
        <v>44</v>
      </c>
      <c r="E266" s="10" t="s">
        <v>28</v>
      </c>
      <c r="F266" s="11">
        <v>22000</v>
      </c>
      <c r="G266" s="10">
        <v>700</v>
      </c>
      <c r="H266" s="11">
        <v>50000</v>
      </c>
      <c r="I266" s="10" t="s">
        <v>49</v>
      </c>
      <c r="J266" s="10" t="s">
        <v>46</v>
      </c>
    </row>
    <row r="267" spans="1:10" ht="15" customHeight="1" x14ac:dyDescent="0.3">
      <c r="A267" s="10" t="s">
        <v>363</v>
      </c>
      <c r="B267" s="10" t="s">
        <v>101</v>
      </c>
      <c r="C267" s="10" t="s">
        <v>22</v>
      </c>
      <c r="D267" s="10" t="s">
        <v>38</v>
      </c>
      <c r="E267" s="10" t="s">
        <v>14</v>
      </c>
      <c r="F267" s="11">
        <v>28000</v>
      </c>
      <c r="G267" s="10">
        <v>740</v>
      </c>
      <c r="H267" s="11">
        <v>50000</v>
      </c>
      <c r="I267" s="10" t="s">
        <v>56</v>
      </c>
      <c r="J267" s="10"/>
    </row>
    <row r="268" spans="1:10" ht="15" customHeight="1" x14ac:dyDescent="0.3">
      <c r="A268" s="10" t="s">
        <v>364</v>
      </c>
      <c r="B268" s="10" t="s">
        <v>72</v>
      </c>
      <c r="C268" s="10" t="s">
        <v>53</v>
      </c>
      <c r="D268" s="10" t="s">
        <v>32</v>
      </c>
      <c r="E268" s="10" t="s">
        <v>28</v>
      </c>
      <c r="F268" s="11">
        <v>25000</v>
      </c>
      <c r="G268" s="10">
        <v>610</v>
      </c>
      <c r="H268" s="11">
        <v>200000</v>
      </c>
      <c r="I268" s="10" t="s">
        <v>29</v>
      </c>
      <c r="J268" s="10"/>
    </row>
    <row r="269" spans="1:10" ht="15" customHeight="1" x14ac:dyDescent="0.3">
      <c r="A269" s="10" t="s">
        <v>365</v>
      </c>
      <c r="B269" s="10" t="s">
        <v>167</v>
      </c>
      <c r="C269" s="10" t="s">
        <v>53</v>
      </c>
      <c r="D269" s="10" t="s">
        <v>27</v>
      </c>
      <c r="E269" s="10" t="s">
        <v>14</v>
      </c>
      <c r="F269" s="11">
        <v>40000</v>
      </c>
      <c r="G269" s="10">
        <v>760</v>
      </c>
      <c r="H269" s="11">
        <v>150000</v>
      </c>
      <c r="I269" s="10" t="s">
        <v>49</v>
      </c>
      <c r="J269" s="10" t="s">
        <v>50</v>
      </c>
    </row>
    <row r="270" spans="1:10" ht="15" customHeight="1" x14ac:dyDescent="0.3">
      <c r="A270" s="10" t="s">
        <v>366</v>
      </c>
      <c r="B270" s="10" t="s">
        <v>121</v>
      </c>
      <c r="C270" s="10" t="s">
        <v>35</v>
      </c>
      <c r="D270" s="10" t="s">
        <v>32</v>
      </c>
      <c r="E270" s="10" t="s">
        <v>28</v>
      </c>
      <c r="F270" s="11">
        <v>25000</v>
      </c>
      <c r="G270" s="10">
        <v>650</v>
      </c>
      <c r="H270" s="11">
        <v>100000</v>
      </c>
      <c r="I270" s="10" t="s">
        <v>39</v>
      </c>
      <c r="J270" s="10" t="s">
        <v>28</v>
      </c>
    </row>
    <row r="271" spans="1:10" ht="15" customHeight="1" x14ac:dyDescent="0.3">
      <c r="A271" s="10" t="s">
        <v>367</v>
      </c>
      <c r="B271" s="10" t="s">
        <v>97</v>
      </c>
      <c r="C271" s="10" t="s">
        <v>43</v>
      </c>
      <c r="D271" s="10" t="s">
        <v>38</v>
      </c>
      <c r="E271" s="10" t="s">
        <v>28</v>
      </c>
      <c r="F271" s="11">
        <v>45000</v>
      </c>
      <c r="G271" s="10" t="s">
        <v>45</v>
      </c>
      <c r="H271" s="11">
        <v>150000</v>
      </c>
      <c r="I271" s="10" t="s">
        <v>29</v>
      </c>
      <c r="J271" s="10"/>
    </row>
    <row r="272" spans="1:10" ht="15" customHeight="1" x14ac:dyDescent="0.3">
      <c r="A272" s="10" t="s">
        <v>368</v>
      </c>
      <c r="B272" s="10" t="s">
        <v>125</v>
      </c>
      <c r="C272" s="10" t="s">
        <v>53</v>
      </c>
      <c r="D272" s="10" t="s">
        <v>44</v>
      </c>
      <c r="E272" s="10" t="s">
        <v>28</v>
      </c>
      <c r="F272" s="11">
        <v>32000</v>
      </c>
      <c r="G272" s="10" t="s">
        <v>45</v>
      </c>
      <c r="H272" s="11">
        <v>200000</v>
      </c>
      <c r="I272" s="10" t="s">
        <v>84</v>
      </c>
      <c r="J272" s="10"/>
    </row>
    <row r="273" spans="1:10" ht="15" customHeight="1" x14ac:dyDescent="0.3">
      <c r="A273" s="10" t="s">
        <v>369</v>
      </c>
      <c r="B273" s="10" t="s">
        <v>125</v>
      </c>
      <c r="C273" s="10" t="s">
        <v>22</v>
      </c>
      <c r="D273" s="10" t="s">
        <v>44</v>
      </c>
      <c r="E273" s="10" t="s">
        <v>28</v>
      </c>
      <c r="F273" s="11">
        <v>18000</v>
      </c>
      <c r="G273" s="10">
        <v>720</v>
      </c>
      <c r="H273" s="11">
        <v>300000</v>
      </c>
      <c r="I273" s="10" t="s">
        <v>49</v>
      </c>
      <c r="J273" s="10" t="s">
        <v>46</v>
      </c>
    </row>
    <row r="274" spans="1:10" ht="15" customHeight="1" x14ac:dyDescent="0.3">
      <c r="A274" s="10" t="s">
        <v>370</v>
      </c>
      <c r="B274" s="10" t="s">
        <v>31</v>
      </c>
      <c r="C274" s="10" t="s">
        <v>53</v>
      </c>
      <c r="D274" s="10" t="s">
        <v>92</v>
      </c>
      <c r="E274" s="10" t="s">
        <v>14</v>
      </c>
      <c r="F274" s="11">
        <v>22000</v>
      </c>
      <c r="G274" s="10">
        <v>580</v>
      </c>
      <c r="H274" s="11">
        <v>300000</v>
      </c>
      <c r="I274" s="10" t="s">
        <v>84</v>
      </c>
      <c r="J274" s="10"/>
    </row>
    <row r="275" spans="1:10" ht="15" customHeight="1" x14ac:dyDescent="0.3">
      <c r="A275" s="10" t="s">
        <v>371</v>
      </c>
      <c r="B275" s="10" t="s">
        <v>88</v>
      </c>
      <c r="C275" s="10" t="s">
        <v>43</v>
      </c>
      <c r="D275" s="10" t="s">
        <v>44</v>
      </c>
      <c r="E275" s="10" t="s">
        <v>14</v>
      </c>
      <c r="F275" s="11">
        <v>25000</v>
      </c>
      <c r="G275" s="10">
        <v>780</v>
      </c>
      <c r="H275" s="11">
        <v>50000</v>
      </c>
      <c r="I275" s="10" t="s">
        <v>49</v>
      </c>
      <c r="J275" s="10" t="s">
        <v>90</v>
      </c>
    </row>
    <row r="276" spans="1:10" ht="15" customHeight="1" x14ac:dyDescent="0.3">
      <c r="A276" s="10" t="s">
        <v>372</v>
      </c>
      <c r="B276" s="10" t="s">
        <v>58</v>
      </c>
      <c r="C276" s="10" t="s">
        <v>35</v>
      </c>
      <c r="D276" s="10" t="s">
        <v>65</v>
      </c>
      <c r="E276" s="10" t="s">
        <v>28</v>
      </c>
      <c r="F276" s="11">
        <v>40000</v>
      </c>
      <c r="G276" s="10">
        <v>760</v>
      </c>
      <c r="H276" s="11">
        <v>75000</v>
      </c>
      <c r="I276" s="10" t="s">
        <v>49</v>
      </c>
      <c r="J276" s="10" t="s">
        <v>90</v>
      </c>
    </row>
    <row r="277" spans="1:10" ht="15" customHeight="1" x14ac:dyDescent="0.3">
      <c r="A277" s="10" t="s">
        <v>373</v>
      </c>
      <c r="B277" s="10" t="s">
        <v>105</v>
      </c>
      <c r="C277" s="10" t="s">
        <v>43</v>
      </c>
      <c r="D277" s="10" t="s">
        <v>44</v>
      </c>
      <c r="E277" s="10" t="s">
        <v>14</v>
      </c>
      <c r="F277" s="11">
        <v>35000</v>
      </c>
      <c r="G277" s="10">
        <v>780</v>
      </c>
      <c r="H277" s="11">
        <v>100000</v>
      </c>
      <c r="I277" s="10" t="s">
        <v>23</v>
      </c>
      <c r="J277" s="10"/>
    </row>
    <row r="278" spans="1:10" ht="15" customHeight="1" x14ac:dyDescent="0.3">
      <c r="A278" s="10" t="s">
        <v>374</v>
      </c>
      <c r="B278" s="10" t="s">
        <v>231</v>
      </c>
      <c r="C278" s="10" t="s">
        <v>53</v>
      </c>
      <c r="D278" s="10" t="s">
        <v>18</v>
      </c>
      <c r="E278" s="10" t="s">
        <v>28</v>
      </c>
      <c r="F278" s="11">
        <v>55000</v>
      </c>
      <c r="G278" s="10">
        <v>670</v>
      </c>
      <c r="H278" s="11">
        <v>100000</v>
      </c>
      <c r="I278" s="10" t="s">
        <v>49</v>
      </c>
      <c r="J278" s="10" t="s">
        <v>28</v>
      </c>
    </row>
    <row r="279" spans="1:10" ht="15" customHeight="1" x14ac:dyDescent="0.3">
      <c r="A279" s="10" t="s">
        <v>375</v>
      </c>
      <c r="B279" s="10" t="s">
        <v>188</v>
      </c>
      <c r="C279" s="10" t="s">
        <v>35</v>
      </c>
      <c r="D279" s="10" t="s">
        <v>32</v>
      </c>
      <c r="E279" s="10" t="s">
        <v>28</v>
      </c>
      <c r="F279" s="11">
        <v>65000</v>
      </c>
      <c r="G279" s="10" t="s">
        <v>45</v>
      </c>
      <c r="H279" s="11">
        <v>250000</v>
      </c>
      <c r="I279" s="10" t="s">
        <v>39</v>
      </c>
      <c r="J279" s="10" t="s">
        <v>28</v>
      </c>
    </row>
    <row r="280" spans="1:10" ht="15" customHeight="1" x14ac:dyDescent="0.3">
      <c r="A280" s="10" t="s">
        <v>376</v>
      </c>
      <c r="B280" s="10" t="s">
        <v>37</v>
      </c>
      <c r="C280" s="10" t="s">
        <v>43</v>
      </c>
      <c r="D280" s="10" t="s">
        <v>92</v>
      </c>
      <c r="E280" s="10" t="s">
        <v>14</v>
      </c>
      <c r="F280" s="11">
        <v>15000</v>
      </c>
      <c r="G280" s="10">
        <v>780</v>
      </c>
      <c r="H280" s="11">
        <v>200000</v>
      </c>
      <c r="I280" s="10" t="s">
        <v>49</v>
      </c>
      <c r="J280" s="10" t="s">
        <v>46</v>
      </c>
    </row>
    <row r="281" spans="1:10" ht="15" customHeight="1" x14ac:dyDescent="0.3">
      <c r="A281" s="10" t="s">
        <v>377</v>
      </c>
      <c r="B281" s="10" t="s">
        <v>55</v>
      </c>
      <c r="C281" s="10" t="s">
        <v>12</v>
      </c>
      <c r="D281" s="10" t="s">
        <v>92</v>
      </c>
      <c r="E281" s="10" t="s">
        <v>28</v>
      </c>
      <c r="F281" s="11">
        <v>22000</v>
      </c>
      <c r="G281" s="10">
        <v>800</v>
      </c>
      <c r="H281" s="11">
        <v>200000</v>
      </c>
      <c r="I281" s="10" t="s">
        <v>56</v>
      </c>
      <c r="J281" s="10"/>
    </row>
    <row r="282" spans="1:10" ht="15" customHeight="1" x14ac:dyDescent="0.3">
      <c r="A282" s="10" t="s">
        <v>378</v>
      </c>
      <c r="B282" s="10" t="s">
        <v>55</v>
      </c>
      <c r="C282" s="10" t="s">
        <v>35</v>
      </c>
      <c r="D282" s="10" t="s">
        <v>27</v>
      </c>
      <c r="E282" s="10" t="s">
        <v>14</v>
      </c>
      <c r="F282" s="11">
        <v>40000</v>
      </c>
      <c r="G282" s="10">
        <v>700</v>
      </c>
      <c r="H282" s="11">
        <v>150000</v>
      </c>
      <c r="I282" s="10" t="s">
        <v>84</v>
      </c>
      <c r="J282" s="10"/>
    </row>
    <row r="283" spans="1:10" ht="15" customHeight="1" x14ac:dyDescent="0.3">
      <c r="A283" s="10" t="s">
        <v>379</v>
      </c>
      <c r="B283" s="10" t="s">
        <v>58</v>
      </c>
      <c r="C283" s="10" t="s">
        <v>22</v>
      </c>
      <c r="D283" s="10" t="s">
        <v>32</v>
      </c>
      <c r="E283" s="10" t="s">
        <v>28</v>
      </c>
      <c r="F283" s="11">
        <v>15000</v>
      </c>
      <c r="G283" s="10">
        <v>610</v>
      </c>
      <c r="H283" s="11">
        <v>200000</v>
      </c>
      <c r="I283" s="10" t="s">
        <v>49</v>
      </c>
      <c r="J283" s="10" t="s">
        <v>46</v>
      </c>
    </row>
    <row r="284" spans="1:10" ht="15" customHeight="1" x14ac:dyDescent="0.3">
      <c r="A284" s="10" t="s">
        <v>380</v>
      </c>
      <c r="B284" s="10" t="s">
        <v>31</v>
      </c>
      <c r="C284" s="10" t="s">
        <v>12</v>
      </c>
      <c r="D284" s="10" t="s">
        <v>38</v>
      </c>
      <c r="E284" s="10" t="s">
        <v>28</v>
      </c>
      <c r="F284" s="11">
        <v>32000</v>
      </c>
      <c r="G284" s="10">
        <v>610</v>
      </c>
      <c r="H284" s="11">
        <v>200000</v>
      </c>
      <c r="I284" s="10" t="s">
        <v>49</v>
      </c>
      <c r="J284" s="10" t="s">
        <v>40</v>
      </c>
    </row>
    <row r="285" spans="1:10" ht="15" customHeight="1" x14ac:dyDescent="0.3">
      <c r="A285" s="10" t="s">
        <v>381</v>
      </c>
      <c r="B285" s="10" t="s">
        <v>136</v>
      </c>
      <c r="C285" s="10" t="s">
        <v>43</v>
      </c>
      <c r="D285" s="10" t="s">
        <v>44</v>
      </c>
      <c r="E285" s="10" t="s">
        <v>28</v>
      </c>
      <c r="F285" s="11">
        <v>55000</v>
      </c>
      <c r="G285" s="10">
        <v>740</v>
      </c>
      <c r="H285" s="11">
        <v>75000</v>
      </c>
      <c r="I285" s="10" t="s">
        <v>15</v>
      </c>
      <c r="J285" s="10"/>
    </row>
    <row r="286" spans="1:10" ht="15" customHeight="1" x14ac:dyDescent="0.3">
      <c r="A286" s="10" t="s">
        <v>382</v>
      </c>
      <c r="B286" s="10" t="s">
        <v>161</v>
      </c>
      <c r="C286" s="10" t="s">
        <v>43</v>
      </c>
      <c r="D286" s="10" t="s">
        <v>60</v>
      </c>
      <c r="E286" s="10" t="s">
        <v>14</v>
      </c>
      <c r="F286" s="11">
        <v>28000</v>
      </c>
      <c r="G286" s="10">
        <v>670</v>
      </c>
      <c r="H286" s="11">
        <v>250000</v>
      </c>
      <c r="I286" s="10" t="s">
        <v>23</v>
      </c>
      <c r="J286" s="10"/>
    </row>
    <row r="287" spans="1:10" ht="15" customHeight="1" x14ac:dyDescent="0.3">
      <c r="A287" s="10" t="s">
        <v>383</v>
      </c>
      <c r="B287" s="10" t="s">
        <v>72</v>
      </c>
      <c r="C287" s="10" t="s">
        <v>26</v>
      </c>
      <c r="D287" s="10" t="s">
        <v>44</v>
      </c>
      <c r="E287" s="10" t="s">
        <v>28</v>
      </c>
      <c r="F287" s="11">
        <v>32000</v>
      </c>
      <c r="G287" s="10">
        <v>760</v>
      </c>
      <c r="H287" s="11">
        <v>300000</v>
      </c>
      <c r="I287" s="10" t="s">
        <v>29</v>
      </c>
      <c r="J287" s="10"/>
    </row>
    <row r="288" spans="1:10" ht="15" customHeight="1" x14ac:dyDescent="0.3">
      <c r="A288" s="10" t="s">
        <v>384</v>
      </c>
      <c r="B288" s="10" t="s">
        <v>134</v>
      </c>
      <c r="C288" s="10" t="s">
        <v>53</v>
      </c>
      <c r="D288" s="10" t="s">
        <v>60</v>
      </c>
      <c r="E288" s="10" t="s">
        <v>14</v>
      </c>
      <c r="F288" s="11">
        <v>55000</v>
      </c>
      <c r="G288" s="10">
        <v>800</v>
      </c>
      <c r="H288" s="11">
        <v>300000</v>
      </c>
      <c r="I288" s="10" t="s">
        <v>49</v>
      </c>
      <c r="J288" s="10" t="s">
        <v>67</v>
      </c>
    </row>
    <row r="289" spans="1:10" ht="15" customHeight="1" x14ac:dyDescent="0.3">
      <c r="A289" s="10" t="s">
        <v>385</v>
      </c>
      <c r="B289" s="10" t="s">
        <v>69</v>
      </c>
      <c r="C289" s="10" t="s">
        <v>22</v>
      </c>
      <c r="D289" s="10" t="s">
        <v>60</v>
      </c>
      <c r="E289" s="10" t="s">
        <v>14</v>
      </c>
      <c r="F289" s="11">
        <v>28000</v>
      </c>
      <c r="G289" s="10">
        <v>580</v>
      </c>
      <c r="H289" s="11">
        <v>150000</v>
      </c>
      <c r="I289" s="10" t="s">
        <v>56</v>
      </c>
      <c r="J289" s="10"/>
    </row>
    <row r="290" spans="1:10" ht="15" customHeight="1" x14ac:dyDescent="0.3">
      <c r="A290" s="10" t="s">
        <v>386</v>
      </c>
      <c r="B290" s="10" t="s">
        <v>55</v>
      </c>
      <c r="C290" s="10" t="s">
        <v>53</v>
      </c>
      <c r="D290" s="10" t="s">
        <v>38</v>
      </c>
      <c r="E290" s="10" t="s">
        <v>14</v>
      </c>
      <c r="F290" s="11">
        <v>25000</v>
      </c>
      <c r="G290" s="10">
        <v>760</v>
      </c>
      <c r="H290" s="11">
        <v>200000</v>
      </c>
      <c r="I290" s="10" t="s">
        <v>56</v>
      </c>
      <c r="J290" s="10"/>
    </row>
    <row r="291" spans="1:10" ht="15" customHeight="1" x14ac:dyDescent="0.3">
      <c r="A291" s="10" t="s">
        <v>387</v>
      </c>
      <c r="B291" s="10" t="s">
        <v>190</v>
      </c>
      <c r="C291" s="10" t="s">
        <v>53</v>
      </c>
      <c r="D291" s="10" t="s">
        <v>65</v>
      </c>
      <c r="E291" s="10" t="s">
        <v>14</v>
      </c>
      <c r="F291" s="11">
        <v>55000</v>
      </c>
      <c r="G291" s="10">
        <v>780</v>
      </c>
      <c r="H291" s="11">
        <v>50000</v>
      </c>
      <c r="I291" s="10" t="s">
        <v>56</v>
      </c>
      <c r="J291" s="10"/>
    </row>
    <row r="292" spans="1:10" ht="15" customHeight="1" x14ac:dyDescent="0.3">
      <c r="A292" s="10" t="s">
        <v>388</v>
      </c>
      <c r="B292" s="10" t="s">
        <v>153</v>
      </c>
      <c r="C292" s="10" t="s">
        <v>43</v>
      </c>
      <c r="D292" s="10" t="s">
        <v>27</v>
      </c>
      <c r="E292" s="10" t="s">
        <v>14</v>
      </c>
      <c r="F292" s="11">
        <v>15000</v>
      </c>
      <c r="G292" s="10">
        <v>580</v>
      </c>
      <c r="H292" s="11">
        <v>250000</v>
      </c>
      <c r="I292" s="10" t="s">
        <v>84</v>
      </c>
      <c r="J292" s="10"/>
    </row>
    <row r="293" spans="1:10" ht="15" customHeight="1" x14ac:dyDescent="0.3">
      <c r="A293" s="10" t="s">
        <v>389</v>
      </c>
      <c r="B293" s="10" t="s">
        <v>153</v>
      </c>
      <c r="C293" s="10" t="s">
        <v>35</v>
      </c>
      <c r="D293" s="10" t="s">
        <v>65</v>
      </c>
      <c r="E293" s="10" t="s">
        <v>14</v>
      </c>
      <c r="F293" s="11">
        <v>45000</v>
      </c>
      <c r="G293" s="10">
        <v>610</v>
      </c>
      <c r="H293" s="11">
        <v>150000</v>
      </c>
      <c r="I293" s="10" t="s">
        <v>84</v>
      </c>
      <c r="J293" s="10"/>
    </row>
    <row r="294" spans="1:10" ht="15" customHeight="1" x14ac:dyDescent="0.3">
      <c r="A294" s="10" t="s">
        <v>390</v>
      </c>
      <c r="B294" s="10" t="s">
        <v>176</v>
      </c>
      <c r="C294" s="10" t="s">
        <v>12</v>
      </c>
      <c r="D294" s="10" t="s">
        <v>27</v>
      </c>
      <c r="E294" s="10" t="s">
        <v>28</v>
      </c>
      <c r="F294" s="11">
        <v>32000</v>
      </c>
      <c r="G294" s="10">
        <v>670</v>
      </c>
      <c r="H294" s="11">
        <v>250000</v>
      </c>
      <c r="I294" s="10" t="s">
        <v>39</v>
      </c>
      <c r="J294" s="10" t="s">
        <v>95</v>
      </c>
    </row>
    <row r="295" spans="1:10" ht="15" customHeight="1" x14ac:dyDescent="0.3">
      <c r="A295" s="10" t="s">
        <v>391</v>
      </c>
      <c r="B295" s="10" t="s">
        <v>88</v>
      </c>
      <c r="C295" s="10" t="s">
        <v>22</v>
      </c>
      <c r="D295" s="10" t="s">
        <v>18</v>
      </c>
      <c r="E295" s="10" t="s">
        <v>14</v>
      </c>
      <c r="F295" s="11">
        <v>22000</v>
      </c>
      <c r="G295" s="10">
        <v>720</v>
      </c>
      <c r="H295" s="11">
        <v>75000</v>
      </c>
      <c r="I295" s="10" t="s">
        <v>29</v>
      </c>
      <c r="J295" s="10"/>
    </row>
    <row r="296" spans="1:10" ht="15" customHeight="1" x14ac:dyDescent="0.3">
      <c r="A296" s="10" t="s">
        <v>392</v>
      </c>
      <c r="B296" s="10" t="s">
        <v>109</v>
      </c>
      <c r="C296" s="10" t="s">
        <v>26</v>
      </c>
      <c r="D296" s="10" t="s">
        <v>38</v>
      </c>
      <c r="E296" s="10" t="s">
        <v>14</v>
      </c>
      <c r="F296" s="11">
        <v>28000</v>
      </c>
      <c r="G296" s="10" t="s">
        <v>45</v>
      </c>
      <c r="H296" s="11">
        <v>200000</v>
      </c>
      <c r="I296" s="10" t="s">
        <v>19</v>
      </c>
      <c r="J296" s="10"/>
    </row>
    <row r="297" spans="1:10" ht="15" customHeight="1" x14ac:dyDescent="0.3">
      <c r="A297" s="10" t="s">
        <v>393</v>
      </c>
      <c r="B297" s="10" t="s">
        <v>107</v>
      </c>
      <c r="C297" s="10" t="s">
        <v>35</v>
      </c>
      <c r="D297" s="10" t="s">
        <v>44</v>
      </c>
      <c r="E297" s="10" t="s">
        <v>28</v>
      </c>
      <c r="F297" s="11">
        <v>40000</v>
      </c>
      <c r="G297" s="10">
        <v>800</v>
      </c>
      <c r="H297" s="11">
        <v>300000</v>
      </c>
      <c r="I297" s="10" t="s">
        <v>49</v>
      </c>
      <c r="J297" s="10" t="s">
        <v>212</v>
      </c>
    </row>
    <row r="298" spans="1:10" ht="15" customHeight="1" x14ac:dyDescent="0.3">
      <c r="A298" s="10" t="s">
        <v>394</v>
      </c>
      <c r="B298" s="10" t="s">
        <v>69</v>
      </c>
      <c r="C298" s="10" t="s">
        <v>26</v>
      </c>
      <c r="D298" s="10" t="s">
        <v>60</v>
      </c>
      <c r="E298" s="10" t="s">
        <v>14</v>
      </c>
      <c r="F298" s="11">
        <v>18000</v>
      </c>
      <c r="G298" s="10">
        <v>700</v>
      </c>
      <c r="H298" s="11">
        <v>150000</v>
      </c>
      <c r="I298" s="10" t="s">
        <v>15</v>
      </c>
      <c r="J298" s="10"/>
    </row>
    <row r="299" spans="1:10" ht="15" customHeight="1" x14ac:dyDescent="0.3">
      <c r="A299" s="10" t="s">
        <v>395</v>
      </c>
      <c r="B299" s="10" t="s">
        <v>144</v>
      </c>
      <c r="C299" s="10" t="s">
        <v>53</v>
      </c>
      <c r="D299" s="10" t="s">
        <v>65</v>
      </c>
      <c r="E299" s="10" t="s">
        <v>14</v>
      </c>
      <c r="F299" s="11">
        <v>32000</v>
      </c>
      <c r="G299" s="10">
        <v>670</v>
      </c>
      <c r="H299" s="11">
        <v>75000</v>
      </c>
      <c r="I299" s="10" t="s">
        <v>39</v>
      </c>
      <c r="J299" s="10" t="s">
        <v>212</v>
      </c>
    </row>
    <row r="300" spans="1:10" ht="15" customHeight="1" x14ac:dyDescent="0.3">
      <c r="A300" s="10" t="s">
        <v>396</v>
      </c>
      <c r="B300" s="10" t="s">
        <v>11</v>
      </c>
      <c r="C300" s="10" t="s">
        <v>12</v>
      </c>
      <c r="D300" s="10" t="s">
        <v>32</v>
      </c>
      <c r="E300" s="10" t="s">
        <v>28</v>
      </c>
      <c r="F300" s="11">
        <v>45000</v>
      </c>
      <c r="G300" s="10">
        <v>700</v>
      </c>
      <c r="H300" s="11">
        <v>250000</v>
      </c>
      <c r="I300" s="10" t="s">
        <v>15</v>
      </c>
      <c r="J300" s="10"/>
    </row>
    <row r="301" spans="1:10" ht="15" customHeight="1" x14ac:dyDescent="0.3">
      <c r="A301" s="12" t="s">
        <v>397</v>
      </c>
      <c r="B301" s="12" t="s">
        <v>62</v>
      </c>
      <c r="C301" s="12" t="s">
        <v>22</v>
      </c>
      <c r="D301" s="12" t="s">
        <v>65</v>
      </c>
      <c r="E301" s="12" t="s">
        <v>28</v>
      </c>
      <c r="F301" s="13">
        <v>32000</v>
      </c>
      <c r="G301" s="12">
        <v>650</v>
      </c>
      <c r="H301" s="13">
        <v>150000</v>
      </c>
      <c r="I301" s="12" t="s">
        <v>19</v>
      </c>
      <c r="J301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2"/>
  <sheetViews>
    <sheetView zoomScaleNormal="100" workbookViewId="0">
      <pane ySplit="1" topLeftCell="A2" activePane="bottomLeft" state="frozen"/>
      <selection pane="bottomLeft" activeCell="E23" sqref="A2:K302"/>
    </sheetView>
  </sheetViews>
  <sheetFormatPr defaultColWidth="8.6640625" defaultRowHeight="15.6" x14ac:dyDescent="0.3"/>
  <cols>
    <col min="1" max="1" width="13.33203125" style="3" bestFit="1" customWidth="1"/>
    <col min="2" max="2" width="16" style="3" bestFit="1" customWidth="1"/>
    <col min="3" max="3" width="25.88671875" style="3" bestFit="1" customWidth="1"/>
    <col min="4" max="4" width="12.6640625" style="3" bestFit="1" customWidth="1"/>
    <col min="5" max="5" width="24.5546875" style="3" bestFit="1" customWidth="1"/>
    <col min="6" max="6" width="21.21875" style="3" bestFit="1" customWidth="1"/>
    <col min="7" max="7" width="17.88671875" style="3" bestFit="1" customWidth="1"/>
    <col min="8" max="8" width="31.77734375" style="3" bestFit="1" customWidth="1"/>
    <col min="9" max="9" width="15" style="3" bestFit="1" customWidth="1"/>
    <col min="10" max="10" width="24" style="3" bestFit="1" customWidth="1"/>
    <col min="11" max="11" width="25.33203125" style="3" bestFit="1" customWidth="1"/>
    <col min="12" max="16384" width="8.6640625" style="3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424</v>
      </c>
    </row>
    <row r="2" spans="1:11" x14ac:dyDescent="0.3">
      <c r="A2" s="4" t="s">
        <v>20</v>
      </c>
      <c r="B2" s="4" t="s">
        <v>21</v>
      </c>
      <c r="C2" s="4" t="s">
        <v>22</v>
      </c>
      <c r="D2" s="4" t="s">
        <v>18</v>
      </c>
      <c r="E2" s="4" t="s">
        <v>14</v>
      </c>
      <c r="F2" s="5">
        <v>45000</v>
      </c>
      <c r="G2" s="4">
        <v>650</v>
      </c>
      <c r="H2" s="5">
        <v>250000</v>
      </c>
      <c r="I2" s="4" t="s">
        <v>23</v>
      </c>
      <c r="J2" s="4"/>
      <c r="K2" s="8"/>
    </row>
    <row r="3" spans="1:11" x14ac:dyDescent="0.3">
      <c r="A3" s="4" t="s">
        <v>187</v>
      </c>
      <c r="B3" s="4" t="s">
        <v>188</v>
      </c>
      <c r="C3" s="4" t="s">
        <v>26</v>
      </c>
      <c r="D3" s="4" t="s">
        <v>18</v>
      </c>
      <c r="E3" s="4" t="s">
        <v>14</v>
      </c>
      <c r="F3" s="5">
        <v>40000</v>
      </c>
      <c r="G3" s="4">
        <v>800</v>
      </c>
      <c r="H3" s="5">
        <v>150000</v>
      </c>
      <c r="I3" s="4" t="s">
        <v>23</v>
      </c>
      <c r="J3" s="4"/>
      <c r="K3" s="4"/>
    </row>
    <row r="4" spans="1:11" x14ac:dyDescent="0.3">
      <c r="A4" s="4" t="s">
        <v>373</v>
      </c>
      <c r="B4" s="4" t="s">
        <v>105</v>
      </c>
      <c r="C4" s="4" t="s">
        <v>43</v>
      </c>
      <c r="D4" s="4" t="s">
        <v>44</v>
      </c>
      <c r="E4" s="4" t="s">
        <v>14</v>
      </c>
      <c r="F4" s="5">
        <v>35000</v>
      </c>
      <c r="G4" s="4">
        <v>780</v>
      </c>
      <c r="H4" s="5">
        <v>100000</v>
      </c>
      <c r="I4" s="4" t="s">
        <v>23</v>
      </c>
      <c r="J4" s="4"/>
      <c r="K4" s="4"/>
    </row>
    <row r="5" spans="1:11" x14ac:dyDescent="0.3">
      <c r="A5" s="4" t="s">
        <v>141</v>
      </c>
      <c r="B5" s="4" t="s">
        <v>142</v>
      </c>
      <c r="C5" s="4" t="s">
        <v>26</v>
      </c>
      <c r="D5" s="4" t="s">
        <v>92</v>
      </c>
      <c r="E5" s="4" t="s">
        <v>14</v>
      </c>
      <c r="F5" s="5">
        <v>28000</v>
      </c>
      <c r="G5" s="4" t="s">
        <v>45</v>
      </c>
      <c r="H5" s="5">
        <v>50000</v>
      </c>
      <c r="I5" s="4" t="s">
        <v>23</v>
      </c>
      <c r="J5" s="4"/>
      <c r="K5" s="4"/>
    </row>
    <row r="6" spans="1:11" x14ac:dyDescent="0.3">
      <c r="A6" s="4" t="s">
        <v>239</v>
      </c>
      <c r="B6" s="4" t="s">
        <v>113</v>
      </c>
      <c r="C6" s="4" t="s">
        <v>53</v>
      </c>
      <c r="D6" s="4" t="s">
        <v>92</v>
      </c>
      <c r="E6" s="4" t="s">
        <v>28</v>
      </c>
      <c r="F6" s="5">
        <v>65000</v>
      </c>
      <c r="G6" s="4">
        <v>720</v>
      </c>
      <c r="H6" s="5">
        <v>150000</v>
      </c>
      <c r="I6" s="4" t="s">
        <v>23</v>
      </c>
      <c r="J6" s="4"/>
      <c r="K6" s="4"/>
    </row>
    <row r="7" spans="1:11" x14ac:dyDescent="0.3">
      <c r="A7" s="4" t="s">
        <v>302</v>
      </c>
      <c r="B7" s="4" t="s">
        <v>142</v>
      </c>
      <c r="C7" s="4" t="s">
        <v>53</v>
      </c>
      <c r="D7" s="4" t="s">
        <v>13</v>
      </c>
      <c r="E7" s="4" t="s">
        <v>14</v>
      </c>
      <c r="F7" s="5">
        <v>15000</v>
      </c>
      <c r="G7" s="4">
        <v>650</v>
      </c>
      <c r="H7" s="5">
        <v>150000</v>
      </c>
      <c r="I7" s="4" t="s">
        <v>23</v>
      </c>
      <c r="J7" s="4"/>
      <c r="K7" s="4"/>
    </row>
    <row r="8" spans="1:11" x14ac:dyDescent="0.3">
      <c r="A8" s="4" t="s">
        <v>189</v>
      </c>
      <c r="B8" s="4" t="s">
        <v>190</v>
      </c>
      <c r="C8" s="4" t="s">
        <v>35</v>
      </c>
      <c r="D8" s="4" t="s">
        <v>13</v>
      </c>
      <c r="E8" s="4" t="s">
        <v>28</v>
      </c>
      <c r="F8" s="5">
        <v>25000</v>
      </c>
      <c r="G8" s="4">
        <v>720</v>
      </c>
      <c r="H8" s="5">
        <v>100000</v>
      </c>
      <c r="I8" s="4" t="s">
        <v>23</v>
      </c>
      <c r="J8" s="4"/>
      <c r="K8" s="4"/>
    </row>
    <row r="9" spans="1:11" x14ac:dyDescent="0.3">
      <c r="A9" s="4" t="s">
        <v>360</v>
      </c>
      <c r="B9" s="4" t="s">
        <v>83</v>
      </c>
      <c r="C9" s="4" t="s">
        <v>22</v>
      </c>
      <c r="D9" s="4" t="s">
        <v>32</v>
      </c>
      <c r="E9" s="4" t="s">
        <v>28</v>
      </c>
      <c r="F9" s="5">
        <v>40000</v>
      </c>
      <c r="G9" s="4">
        <v>580</v>
      </c>
      <c r="H9" s="5">
        <v>75000</v>
      </c>
      <c r="I9" s="4" t="s">
        <v>23</v>
      </c>
      <c r="J9" s="4"/>
      <c r="K9" s="4"/>
    </row>
    <row r="10" spans="1:11" x14ac:dyDescent="0.3">
      <c r="A10" s="4" t="s">
        <v>244</v>
      </c>
      <c r="B10" s="4" t="s">
        <v>42</v>
      </c>
      <c r="C10" s="4" t="s">
        <v>53</v>
      </c>
      <c r="D10" s="4" t="s">
        <v>38</v>
      </c>
      <c r="E10" s="4" t="s">
        <v>14</v>
      </c>
      <c r="F10" s="5">
        <v>55000</v>
      </c>
      <c r="G10" s="4">
        <v>700</v>
      </c>
      <c r="H10" s="5">
        <v>50000</v>
      </c>
      <c r="I10" s="4" t="s">
        <v>23</v>
      </c>
      <c r="J10" s="4"/>
      <c r="K10" s="4"/>
    </row>
    <row r="11" spans="1:11" x14ac:dyDescent="0.3">
      <c r="A11" s="4" t="s">
        <v>345</v>
      </c>
      <c r="B11" s="4" t="s">
        <v>81</v>
      </c>
      <c r="C11" s="4" t="s">
        <v>53</v>
      </c>
      <c r="D11" s="4" t="s">
        <v>38</v>
      </c>
      <c r="E11" s="4" t="s">
        <v>14</v>
      </c>
      <c r="F11" s="5">
        <v>55000</v>
      </c>
      <c r="G11" s="4">
        <v>670</v>
      </c>
      <c r="H11" s="5">
        <v>150000</v>
      </c>
      <c r="I11" s="4" t="s">
        <v>23</v>
      </c>
      <c r="J11" s="4"/>
      <c r="K11" s="4"/>
    </row>
    <row r="12" spans="1:11" x14ac:dyDescent="0.3">
      <c r="A12" s="4" t="s">
        <v>317</v>
      </c>
      <c r="B12" s="4" t="s">
        <v>140</v>
      </c>
      <c r="C12" s="4" t="s">
        <v>35</v>
      </c>
      <c r="D12" s="4" t="s">
        <v>38</v>
      </c>
      <c r="E12" s="4" t="s">
        <v>28</v>
      </c>
      <c r="F12" s="5">
        <v>45000</v>
      </c>
      <c r="G12" s="4">
        <v>580</v>
      </c>
      <c r="H12" s="5">
        <v>200000</v>
      </c>
      <c r="I12" s="4" t="s">
        <v>23</v>
      </c>
      <c r="J12" s="4"/>
      <c r="K12" s="4"/>
    </row>
    <row r="13" spans="1:11" x14ac:dyDescent="0.3">
      <c r="A13" s="4" t="s">
        <v>382</v>
      </c>
      <c r="B13" s="4" t="s">
        <v>161</v>
      </c>
      <c r="C13" s="4" t="s">
        <v>43</v>
      </c>
      <c r="D13" s="4" t="s">
        <v>60</v>
      </c>
      <c r="E13" s="4" t="s">
        <v>14</v>
      </c>
      <c r="F13" s="5">
        <v>28000</v>
      </c>
      <c r="G13" s="4">
        <v>670</v>
      </c>
      <c r="H13" s="5">
        <v>250000</v>
      </c>
      <c r="I13" s="4" t="s">
        <v>23</v>
      </c>
      <c r="J13" s="4"/>
      <c r="K13" s="4"/>
    </row>
    <row r="14" spans="1:11" x14ac:dyDescent="0.3">
      <c r="A14" s="4" t="s">
        <v>208</v>
      </c>
      <c r="B14" s="4" t="s">
        <v>94</v>
      </c>
      <c r="C14" s="4" t="s">
        <v>43</v>
      </c>
      <c r="D14" s="4" t="s">
        <v>60</v>
      </c>
      <c r="E14" s="4" t="s">
        <v>28</v>
      </c>
      <c r="F14" s="5">
        <v>18000</v>
      </c>
      <c r="G14" s="4">
        <v>740</v>
      </c>
      <c r="H14" s="5">
        <v>250000</v>
      </c>
      <c r="I14" s="4" t="s">
        <v>23</v>
      </c>
      <c r="J14" s="4"/>
      <c r="K14" s="4"/>
    </row>
    <row r="15" spans="1:11" x14ac:dyDescent="0.3">
      <c r="A15" s="4" t="s">
        <v>337</v>
      </c>
      <c r="B15" s="4" t="s">
        <v>55</v>
      </c>
      <c r="C15" s="4" t="s">
        <v>12</v>
      </c>
      <c r="D15" s="4" t="s">
        <v>60</v>
      </c>
      <c r="E15" s="4" t="s">
        <v>28</v>
      </c>
      <c r="F15" s="5">
        <v>40000</v>
      </c>
      <c r="G15" s="4">
        <v>780</v>
      </c>
      <c r="H15" s="5">
        <v>75000</v>
      </c>
      <c r="I15" s="4" t="s">
        <v>23</v>
      </c>
      <c r="J15" s="4"/>
      <c r="K15" s="4"/>
    </row>
    <row r="16" spans="1:11" x14ac:dyDescent="0.3">
      <c r="A16" s="4" t="s">
        <v>320</v>
      </c>
      <c r="B16" s="4" t="s">
        <v>86</v>
      </c>
      <c r="C16" s="4" t="s">
        <v>26</v>
      </c>
      <c r="D16" s="4" t="s">
        <v>18</v>
      </c>
      <c r="E16" s="4" t="s">
        <v>28</v>
      </c>
      <c r="F16" s="5">
        <v>25000</v>
      </c>
      <c r="G16" s="4">
        <v>720</v>
      </c>
      <c r="H16" s="5">
        <v>100000</v>
      </c>
      <c r="I16" s="4" t="s">
        <v>181</v>
      </c>
      <c r="J16" s="4"/>
      <c r="K16" s="4"/>
    </row>
    <row r="17" spans="1:11" x14ac:dyDescent="0.3">
      <c r="A17" s="4" t="s">
        <v>195</v>
      </c>
      <c r="B17" s="4" t="s">
        <v>42</v>
      </c>
      <c r="C17" s="4" t="s">
        <v>53</v>
      </c>
      <c r="D17" s="4" t="s">
        <v>70</v>
      </c>
      <c r="E17" s="4" t="s">
        <v>14</v>
      </c>
      <c r="F17" s="5">
        <v>28000</v>
      </c>
      <c r="G17" s="4" t="s">
        <v>45</v>
      </c>
      <c r="H17" s="5">
        <v>200000</v>
      </c>
      <c r="I17" s="4" t="s">
        <v>181</v>
      </c>
      <c r="J17" s="4"/>
      <c r="K17" s="4"/>
    </row>
    <row r="18" spans="1:11" x14ac:dyDescent="0.3">
      <c r="A18" s="4" t="s">
        <v>265</v>
      </c>
      <c r="B18" s="4" t="s">
        <v>153</v>
      </c>
      <c r="C18" s="4" t="s">
        <v>43</v>
      </c>
      <c r="D18" s="4" t="s">
        <v>70</v>
      </c>
      <c r="E18" s="4" t="s">
        <v>28</v>
      </c>
      <c r="F18" s="5">
        <v>40000</v>
      </c>
      <c r="G18" s="4">
        <v>800</v>
      </c>
      <c r="H18" s="5">
        <v>50000</v>
      </c>
      <c r="I18" s="4" t="s">
        <v>181</v>
      </c>
      <c r="J18" s="4"/>
      <c r="K18" s="4"/>
    </row>
    <row r="19" spans="1:11" x14ac:dyDescent="0.3">
      <c r="A19" s="4" t="s">
        <v>306</v>
      </c>
      <c r="B19" s="4" t="s">
        <v>190</v>
      </c>
      <c r="C19" s="4" t="s">
        <v>53</v>
      </c>
      <c r="D19" s="4" t="s">
        <v>13</v>
      </c>
      <c r="E19" s="4" t="s">
        <v>14</v>
      </c>
      <c r="F19" s="5">
        <v>32000</v>
      </c>
      <c r="G19" s="4">
        <v>670</v>
      </c>
      <c r="H19" s="5">
        <v>250000</v>
      </c>
      <c r="I19" s="4" t="s">
        <v>181</v>
      </c>
      <c r="J19" s="4"/>
      <c r="K19" s="4"/>
    </row>
    <row r="20" spans="1:11" x14ac:dyDescent="0.3">
      <c r="A20" s="4" t="s">
        <v>279</v>
      </c>
      <c r="B20" s="4" t="s">
        <v>147</v>
      </c>
      <c r="C20" s="4" t="s">
        <v>43</v>
      </c>
      <c r="D20" s="4" t="s">
        <v>32</v>
      </c>
      <c r="E20" s="4" t="s">
        <v>14</v>
      </c>
      <c r="F20" s="5">
        <v>22000</v>
      </c>
      <c r="G20" s="4">
        <v>800</v>
      </c>
      <c r="H20" s="5">
        <v>50000</v>
      </c>
      <c r="I20" s="4" t="s">
        <v>181</v>
      </c>
      <c r="J20" s="4"/>
      <c r="K20" s="4"/>
    </row>
    <row r="21" spans="1:11" x14ac:dyDescent="0.3">
      <c r="A21" s="4" t="s">
        <v>305</v>
      </c>
      <c r="B21" s="4" t="s">
        <v>199</v>
      </c>
      <c r="C21" s="4" t="s">
        <v>43</v>
      </c>
      <c r="D21" s="4" t="s">
        <v>32</v>
      </c>
      <c r="E21" s="4" t="s">
        <v>28</v>
      </c>
      <c r="F21" s="5">
        <v>28000</v>
      </c>
      <c r="G21" s="4">
        <v>800</v>
      </c>
      <c r="H21" s="5">
        <v>200000</v>
      </c>
      <c r="I21" s="4" t="s">
        <v>181</v>
      </c>
      <c r="J21" s="4"/>
      <c r="K21" s="4"/>
    </row>
    <row r="22" spans="1:11" x14ac:dyDescent="0.3">
      <c r="A22" s="4" t="s">
        <v>180</v>
      </c>
      <c r="B22" s="4" t="s">
        <v>74</v>
      </c>
      <c r="C22" s="4" t="s">
        <v>35</v>
      </c>
      <c r="D22" s="4" t="s">
        <v>32</v>
      </c>
      <c r="E22" s="4" t="s">
        <v>28</v>
      </c>
      <c r="F22" s="5">
        <v>18000</v>
      </c>
      <c r="G22" s="4">
        <v>720</v>
      </c>
      <c r="H22" s="5">
        <v>250000</v>
      </c>
      <c r="I22" s="4" t="s">
        <v>181</v>
      </c>
      <c r="J22" s="4"/>
      <c r="K22" s="4"/>
    </row>
    <row r="23" spans="1:11" x14ac:dyDescent="0.3">
      <c r="A23" s="4" t="s">
        <v>227</v>
      </c>
      <c r="B23" s="4" t="s">
        <v>88</v>
      </c>
      <c r="C23" s="4" t="s">
        <v>12</v>
      </c>
      <c r="D23" s="4" t="s">
        <v>32</v>
      </c>
      <c r="E23" s="4" t="s">
        <v>28</v>
      </c>
      <c r="F23" s="5">
        <v>65000</v>
      </c>
      <c r="G23" s="4">
        <v>800</v>
      </c>
      <c r="H23" s="5">
        <v>150000</v>
      </c>
      <c r="I23" s="4" t="s">
        <v>181</v>
      </c>
      <c r="J23" s="4"/>
      <c r="K23" s="4"/>
    </row>
    <row r="24" spans="1:11" x14ac:dyDescent="0.3">
      <c r="A24" s="4" t="s">
        <v>315</v>
      </c>
      <c r="B24" s="4" t="s">
        <v>76</v>
      </c>
      <c r="C24" s="4" t="s">
        <v>26</v>
      </c>
      <c r="D24" s="4" t="s">
        <v>27</v>
      </c>
      <c r="E24" s="4" t="s">
        <v>28</v>
      </c>
      <c r="F24" s="5">
        <v>65000</v>
      </c>
      <c r="G24" s="4">
        <v>780</v>
      </c>
      <c r="H24" s="5">
        <v>150000</v>
      </c>
      <c r="I24" s="4" t="s">
        <v>181</v>
      </c>
      <c r="J24" s="4"/>
      <c r="K24" s="4"/>
    </row>
    <row r="25" spans="1:11" x14ac:dyDescent="0.3">
      <c r="A25" s="4" t="s">
        <v>182</v>
      </c>
      <c r="B25" s="4" t="s">
        <v>144</v>
      </c>
      <c r="C25" s="4" t="s">
        <v>26</v>
      </c>
      <c r="D25" s="4" t="s">
        <v>65</v>
      </c>
      <c r="E25" s="4" t="s">
        <v>28</v>
      </c>
      <c r="F25" s="5">
        <v>22000</v>
      </c>
      <c r="G25" s="4">
        <v>760</v>
      </c>
      <c r="H25" s="5">
        <v>100000</v>
      </c>
      <c r="I25" s="4" t="s">
        <v>181</v>
      </c>
      <c r="J25" s="4"/>
      <c r="K25" s="4"/>
    </row>
    <row r="26" spans="1:11" x14ac:dyDescent="0.3">
      <c r="A26" s="4" t="s">
        <v>246</v>
      </c>
      <c r="B26" s="4" t="s">
        <v>147</v>
      </c>
      <c r="C26" s="4" t="s">
        <v>43</v>
      </c>
      <c r="D26" s="4" t="s">
        <v>60</v>
      </c>
      <c r="E26" s="4" t="s">
        <v>14</v>
      </c>
      <c r="F26" s="5">
        <v>28000</v>
      </c>
      <c r="G26" s="4">
        <v>740</v>
      </c>
      <c r="H26" s="5">
        <v>100000</v>
      </c>
      <c r="I26" s="4" t="s">
        <v>181</v>
      </c>
      <c r="J26" s="4"/>
      <c r="K26" s="4"/>
    </row>
    <row r="27" spans="1:11" x14ac:dyDescent="0.3">
      <c r="A27" s="4" t="s">
        <v>311</v>
      </c>
      <c r="B27" s="4" t="s">
        <v>97</v>
      </c>
      <c r="C27" s="4" t="s">
        <v>43</v>
      </c>
      <c r="D27" s="4" t="s">
        <v>18</v>
      </c>
      <c r="E27" s="4" t="s">
        <v>14</v>
      </c>
      <c r="F27" s="5">
        <v>65000</v>
      </c>
      <c r="G27" s="4">
        <v>700</v>
      </c>
      <c r="H27" s="5">
        <v>200000</v>
      </c>
      <c r="I27" s="4" t="s">
        <v>29</v>
      </c>
      <c r="J27" s="4"/>
      <c r="K27" s="4"/>
    </row>
    <row r="28" spans="1:11" x14ac:dyDescent="0.3">
      <c r="A28" s="4" t="s">
        <v>73</v>
      </c>
      <c r="B28" s="4" t="s">
        <v>74</v>
      </c>
      <c r="C28" s="4" t="s">
        <v>53</v>
      </c>
      <c r="D28" s="4" t="s">
        <v>18</v>
      </c>
      <c r="E28" s="4" t="s">
        <v>14</v>
      </c>
      <c r="F28" s="5">
        <v>45000</v>
      </c>
      <c r="G28" s="4">
        <v>580</v>
      </c>
      <c r="H28" s="5">
        <v>100000</v>
      </c>
      <c r="I28" s="4" t="s">
        <v>29</v>
      </c>
      <c r="J28" s="4"/>
      <c r="K28" s="4"/>
    </row>
    <row r="29" spans="1:11" x14ac:dyDescent="0.3">
      <c r="A29" s="4" t="s">
        <v>391</v>
      </c>
      <c r="B29" s="4" t="s">
        <v>88</v>
      </c>
      <c r="C29" s="4" t="s">
        <v>22</v>
      </c>
      <c r="D29" s="4" t="s">
        <v>18</v>
      </c>
      <c r="E29" s="4" t="s">
        <v>14</v>
      </c>
      <c r="F29" s="5">
        <v>22000</v>
      </c>
      <c r="G29" s="4">
        <v>720</v>
      </c>
      <c r="H29" s="5">
        <v>75000</v>
      </c>
      <c r="I29" s="4" t="s">
        <v>29</v>
      </c>
      <c r="J29" s="4"/>
      <c r="K29" s="4"/>
    </row>
    <row r="30" spans="1:11" x14ac:dyDescent="0.3">
      <c r="A30" s="4" t="s">
        <v>75</v>
      </c>
      <c r="B30" s="4" t="s">
        <v>76</v>
      </c>
      <c r="C30" s="4" t="s">
        <v>12</v>
      </c>
      <c r="D30" s="4" t="s">
        <v>18</v>
      </c>
      <c r="E30" s="4" t="s">
        <v>14</v>
      </c>
      <c r="F30" s="5">
        <v>22000</v>
      </c>
      <c r="G30" s="4">
        <v>700</v>
      </c>
      <c r="H30" s="5">
        <v>200000</v>
      </c>
      <c r="I30" s="4" t="s">
        <v>29</v>
      </c>
      <c r="J30" s="4"/>
      <c r="K30" s="4"/>
    </row>
    <row r="31" spans="1:11" x14ac:dyDescent="0.3">
      <c r="A31" s="4" t="s">
        <v>80</v>
      </c>
      <c r="B31" s="4" t="s">
        <v>81</v>
      </c>
      <c r="C31" s="4" t="s">
        <v>53</v>
      </c>
      <c r="D31" s="4" t="s">
        <v>18</v>
      </c>
      <c r="E31" s="4" t="s">
        <v>28</v>
      </c>
      <c r="F31" s="5">
        <v>25000</v>
      </c>
      <c r="G31" s="4">
        <v>760</v>
      </c>
      <c r="H31" s="5">
        <v>250000</v>
      </c>
      <c r="I31" s="4" t="s">
        <v>29</v>
      </c>
      <c r="J31" s="4"/>
      <c r="K31" s="4"/>
    </row>
    <row r="32" spans="1:11" x14ac:dyDescent="0.3">
      <c r="A32" s="4" t="s">
        <v>63</v>
      </c>
      <c r="B32" s="4" t="s">
        <v>48</v>
      </c>
      <c r="C32" s="4" t="s">
        <v>12</v>
      </c>
      <c r="D32" s="4" t="s">
        <v>18</v>
      </c>
      <c r="E32" s="4" t="s">
        <v>28</v>
      </c>
      <c r="F32" s="5">
        <v>55000</v>
      </c>
      <c r="G32" s="4">
        <v>720</v>
      </c>
      <c r="H32" s="5">
        <v>150000</v>
      </c>
      <c r="I32" s="4" t="s">
        <v>29</v>
      </c>
      <c r="J32" s="4"/>
      <c r="K32" s="4"/>
    </row>
    <row r="33" spans="1:11" x14ac:dyDescent="0.3">
      <c r="A33" s="4" t="s">
        <v>172</v>
      </c>
      <c r="B33" s="4" t="s">
        <v>88</v>
      </c>
      <c r="C33" s="4" t="s">
        <v>35</v>
      </c>
      <c r="D33" s="4" t="s">
        <v>44</v>
      </c>
      <c r="E33" s="4" t="s">
        <v>14</v>
      </c>
      <c r="F33" s="5">
        <v>65000</v>
      </c>
      <c r="G33" s="4">
        <v>580</v>
      </c>
      <c r="H33" s="5">
        <v>250000</v>
      </c>
      <c r="I33" s="4" t="s">
        <v>29</v>
      </c>
      <c r="J33" s="4"/>
      <c r="K33" s="4"/>
    </row>
    <row r="34" spans="1:11" x14ac:dyDescent="0.3">
      <c r="A34" s="4" t="s">
        <v>321</v>
      </c>
      <c r="B34" s="4" t="s">
        <v>88</v>
      </c>
      <c r="C34" s="4" t="s">
        <v>35</v>
      </c>
      <c r="D34" s="4" t="s">
        <v>44</v>
      </c>
      <c r="E34" s="4" t="s">
        <v>14</v>
      </c>
      <c r="F34" s="5">
        <v>65000</v>
      </c>
      <c r="G34" s="4">
        <v>700</v>
      </c>
      <c r="H34" s="5">
        <v>75000</v>
      </c>
      <c r="I34" s="4" t="s">
        <v>29</v>
      </c>
      <c r="J34" s="4"/>
      <c r="K34" s="4"/>
    </row>
    <row r="35" spans="1:11" x14ac:dyDescent="0.3">
      <c r="A35" s="4" t="s">
        <v>120</v>
      </c>
      <c r="B35" s="4" t="s">
        <v>121</v>
      </c>
      <c r="C35" s="4" t="s">
        <v>22</v>
      </c>
      <c r="D35" s="4" t="s">
        <v>44</v>
      </c>
      <c r="E35" s="4" t="s">
        <v>14</v>
      </c>
      <c r="F35" s="5">
        <v>65000</v>
      </c>
      <c r="G35" s="4">
        <v>800</v>
      </c>
      <c r="H35" s="5">
        <v>200000</v>
      </c>
      <c r="I35" s="4" t="s">
        <v>29</v>
      </c>
      <c r="J35" s="4"/>
      <c r="K35" s="4"/>
    </row>
    <row r="36" spans="1:11" x14ac:dyDescent="0.3">
      <c r="A36" s="4" t="s">
        <v>197</v>
      </c>
      <c r="B36" s="4" t="s">
        <v>140</v>
      </c>
      <c r="C36" s="4" t="s">
        <v>26</v>
      </c>
      <c r="D36" s="4" t="s">
        <v>44</v>
      </c>
      <c r="E36" s="4" t="s">
        <v>14</v>
      </c>
      <c r="F36" s="5">
        <v>15000</v>
      </c>
      <c r="G36" s="4">
        <v>670</v>
      </c>
      <c r="H36" s="5">
        <v>150000</v>
      </c>
      <c r="I36" s="4" t="s">
        <v>29</v>
      </c>
      <c r="J36" s="4"/>
      <c r="K36" s="4"/>
    </row>
    <row r="37" spans="1:11" x14ac:dyDescent="0.3">
      <c r="A37" s="4" t="s">
        <v>117</v>
      </c>
      <c r="B37" s="4" t="s">
        <v>113</v>
      </c>
      <c r="C37" s="4" t="s">
        <v>22</v>
      </c>
      <c r="D37" s="4" t="s">
        <v>44</v>
      </c>
      <c r="E37" s="4" t="s">
        <v>28</v>
      </c>
      <c r="F37" s="5">
        <v>22000</v>
      </c>
      <c r="G37" s="4">
        <v>740</v>
      </c>
      <c r="H37" s="5">
        <v>250000</v>
      </c>
      <c r="I37" s="4" t="s">
        <v>29</v>
      </c>
      <c r="J37" s="4"/>
      <c r="K37" s="4"/>
    </row>
    <row r="38" spans="1:11" x14ac:dyDescent="0.3">
      <c r="A38" s="4" t="s">
        <v>168</v>
      </c>
      <c r="B38" s="4" t="s">
        <v>21</v>
      </c>
      <c r="C38" s="4" t="s">
        <v>26</v>
      </c>
      <c r="D38" s="4" t="s">
        <v>44</v>
      </c>
      <c r="E38" s="4" t="s">
        <v>28</v>
      </c>
      <c r="F38" s="5">
        <v>22000</v>
      </c>
      <c r="G38" s="4">
        <v>740</v>
      </c>
      <c r="H38" s="5">
        <v>200000</v>
      </c>
      <c r="I38" s="4" t="s">
        <v>29</v>
      </c>
      <c r="J38" s="4"/>
      <c r="K38" s="4"/>
    </row>
    <row r="39" spans="1:11" x14ac:dyDescent="0.3">
      <c r="A39" s="4" t="s">
        <v>249</v>
      </c>
      <c r="B39" s="4" t="s">
        <v>11</v>
      </c>
      <c r="C39" s="4" t="s">
        <v>26</v>
      </c>
      <c r="D39" s="4" t="s">
        <v>44</v>
      </c>
      <c r="E39" s="4" t="s">
        <v>28</v>
      </c>
      <c r="F39" s="5">
        <v>55000</v>
      </c>
      <c r="G39" s="4">
        <v>720</v>
      </c>
      <c r="H39" s="5">
        <v>100000</v>
      </c>
      <c r="I39" s="4" t="s">
        <v>29</v>
      </c>
      <c r="J39" s="4"/>
      <c r="K39" s="4"/>
    </row>
    <row r="40" spans="1:11" x14ac:dyDescent="0.3">
      <c r="A40" s="4" t="s">
        <v>383</v>
      </c>
      <c r="B40" s="4" t="s">
        <v>72</v>
      </c>
      <c r="C40" s="4" t="s">
        <v>26</v>
      </c>
      <c r="D40" s="4" t="s">
        <v>44</v>
      </c>
      <c r="E40" s="4" t="s">
        <v>28</v>
      </c>
      <c r="F40" s="5">
        <v>32000</v>
      </c>
      <c r="G40" s="4">
        <v>760</v>
      </c>
      <c r="H40" s="5">
        <v>300000</v>
      </c>
      <c r="I40" s="4" t="s">
        <v>29</v>
      </c>
      <c r="J40" s="4"/>
      <c r="K40" s="4"/>
    </row>
    <row r="41" spans="1:11" x14ac:dyDescent="0.3">
      <c r="A41" s="4" t="s">
        <v>277</v>
      </c>
      <c r="B41" s="4" t="s">
        <v>167</v>
      </c>
      <c r="C41" s="4" t="s">
        <v>43</v>
      </c>
      <c r="D41" s="4" t="s">
        <v>92</v>
      </c>
      <c r="E41" s="4" t="s">
        <v>14</v>
      </c>
      <c r="F41" s="5">
        <v>55000</v>
      </c>
      <c r="G41" s="4">
        <v>800</v>
      </c>
      <c r="H41" s="5">
        <v>100000</v>
      </c>
      <c r="I41" s="4" t="s">
        <v>29</v>
      </c>
      <c r="J41" s="4"/>
      <c r="K41" s="4"/>
    </row>
    <row r="42" spans="1:11" x14ac:dyDescent="0.3">
      <c r="A42" s="4" t="s">
        <v>303</v>
      </c>
      <c r="B42" s="4" t="s">
        <v>129</v>
      </c>
      <c r="C42" s="4" t="s">
        <v>43</v>
      </c>
      <c r="D42" s="4" t="s">
        <v>92</v>
      </c>
      <c r="E42" s="4" t="s">
        <v>14</v>
      </c>
      <c r="F42" s="5">
        <v>32000</v>
      </c>
      <c r="G42" s="4">
        <v>700</v>
      </c>
      <c r="H42" s="5">
        <v>150000</v>
      </c>
      <c r="I42" s="4" t="s">
        <v>29</v>
      </c>
      <c r="J42" s="4"/>
      <c r="K42" s="4"/>
    </row>
    <row r="43" spans="1:11" x14ac:dyDescent="0.3">
      <c r="A43" s="4" t="s">
        <v>260</v>
      </c>
      <c r="B43" s="4" t="s">
        <v>109</v>
      </c>
      <c r="C43" s="4" t="s">
        <v>22</v>
      </c>
      <c r="D43" s="4" t="s">
        <v>92</v>
      </c>
      <c r="E43" s="4" t="s">
        <v>14</v>
      </c>
      <c r="F43" s="5">
        <v>25000</v>
      </c>
      <c r="G43" s="4">
        <v>700</v>
      </c>
      <c r="H43" s="5">
        <v>300000</v>
      </c>
      <c r="I43" s="4" t="s">
        <v>29</v>
      </c>
      <c r="J43" s="4"/>
      <c r="K43" s="4"/>
    </row>
    <row r="44" spans="1:11" x14ac:dyDescent="0.3">
      <c r="A44" s="4" t="s">
        <v>91</v>
      </c>
      <c r="B44" s="4" t="s">
        <v>11</v>
      </c>
      <c r="C44" s="4" t="s">
        <v>43</v>
      </c>
      <c r="D44" s="4" t="s">
        <v>92</v>
      </c>
      <c r="E44" s="4" t="s">
        <v>28</v>
      </c>
      <c r="F44" s="5">
        <v>25000</v>
      </c>
      <c r="G44" s="4">
        <v>740</v>
      </c>
      <c r="H44" s="5">
        <v>75000</v>
      </c>
      <c r="I44" s="4" t="s">
        <v>29</v>
      </c>
      <c r="J44" s="4"/>
      <c r="K44" s="4"/>
    </row>
    <row r="45" spans="1:11" x14ac:dyDescent="0.3">
      <c r="A45" s="4" t="s">
        <v>358</v>
      </c>
      <c r="B45" s="4" t="s">
        <v>144</v>
      </c>
      <c r="C45" s="4" t="s">
        <v>35</v>
      </c>
      <c r="D45" s="4" t="s">
        <v>92</v>
      </c>
      <c r="E45" s="4" t="s">
        <v>28</v>
      </c>
      <c r="F45" s="5">
        <v>65000</v>
      </c>
      <c r="G45" s="4">
        <v>650</v>
      </c>
      <c r="H45" s="5">
        <v>150000</v>
      </c>
      <c r="I45" s="4" t="s">
        <v>29</v>
      </c>
      <c r="J45" s="4"/>
      <c r="K45" s="4"/>
    </row>
    <row r="46" spans="1:11" x14ac:dyDescent="0.3">
      <c r="A46" s="4" t="s">
        <v>218</v>
      </c>
      <c r="B46" s="4" t="s">
        <v>136</v>
      </c>
      <c r="C46" s="4" t="s">
        <v>53</v>
      </c>
      <c r="D46" s="4" t="s">
        <v>92</v>
      </c>
      <c r="E46" s="4" t="s">
        <v>28</v>
      </c>
      <c r="F46" s="5">
        <v>65000</v>
      </c>
      <c r="G46" s="4">
        <v>740</v>
      </c>
      <c r="H46" s="5">
        <v>75000</v>
      </c>
      <c r="I46" s="4" t="s">
        <v>29</v>
      </c>
      <c r="J46" s="4"/>
      <c r="K46" s="4"/>
    </row>
    <row r="47" spans="1:11" x14ac:dyDescent="0.3">
      <c r="A47" s="4" t="s">
        <v>230</v>
      </c>
      <c r="B47" s="4" t="s">
        <v>231</v>
      </c>
      <c r="C47" s="4" t="s">
        <v>53</v>
      </c>
      <c r="D47" s="4" t="s">
        <v>92</v>
      </c>
      <c r="E47" s="4" t="s">
        <v>28</v>
      </c>
      <c r="F47" s="5">
        <v>65000</v>
      </c>
      <c r="G47" s="4">
        <v>580</v>
      </c>
      <c r="H47" s="5">
        <v>300000</v>
      </c>
      <c r="I47" s="4" t="s">
        <v>29</v>
      </c>
      <c r="J47" s="4"/>
      <c r="K47" s="4"/>
    </row>
    <row r="48" spans="1:11" x14ac:dyDescent="0.3">
      <c r="A48" s="4" t="s">
        <v>148</v>
      </c>
      <c r="B48" s="4" t="s">
        <v>42</v>
      </c>
      <c r="C48" s="4" t="s">
        <v>22</v>
      </c>
      <c r="D48" s="4" t="s">
        <v>92</v>
      </c>
      <c r="E48" s="4" t="s">
        <v>28</v>
      </c>
      <c r="F48" s="5">
        <v>35000</v>
      </c>
      <c r="G48" s="4">
        <v>760</v>
      </c>
      <c r="H48" s="5">
        <v>100000</v>
      </c>
      <c r="I48" s="4" t="s">
        <v>29</v>
      </c>
      <c r="J48" s="4"/>
      <c r="K48" s="4"/>
    </row>
    <row r="49" spans="1:11" x14ac:dyDescent="0.3">
      <c r="A49" s="4" t="s">
        <v>357</v>
      </c>
      <c r="B49" s="4" t="s">
        <v>151</v>
      </c>
      <c r="C49" s="4" t="s">
        <v>22</v>
      </c>
      <c r="D49" s="4" t="s">
        <v>92</v>
      </c>
      <c r="E49" s="4" t="s">
        <v>28</v>
      </c>
      <c r="F49" s="5">
        <v>55000</v>
      </c>
      <c r="G49" s="4" t="s">
        <v>45</v>
      </c>
      <c r="H49" s="5">
        <v>50000</v>
      </c>
      <c r="I49" s="4" t="s">
        <v>29</v>
      </c>
      <c r="J49" s="4"/>
      <c r="K49" s="4"/>
    </row>
    <row r="50" spans="1:11" x14ac:dyDescent="0.3">
      <c r="A50" s="4" t="s">
        <v>68</v>
      </c>
      <c r="B50" s="4" t="s">
        <v>69</v>
      </c>
      <c r="C50" s="4" t="s">
        <v>43</v>
      </c>
      <c r="D50" s="4" t="s">
        <v>70</v>
      </c>
      <c r="E50" s="4" t="s">
        <v>14</v>
      </c>
      <c r="F50" s="5">
        <v>65000</v>
      </c>
      <c r="G50" s="4">
        <v>760</v>
      </c>
      <c r="H50" s="5">
        <v>300000</v>
      </c>
      <c r="I50" s="4" t="s">
        <v>29</v>
      </c>
      <c r="J50" s="4"/>
      <c r="K50" s="4"/>
    </row>
    <row r="51" spans="1:11" x14ac:dyDescent="0.3">
      <c r="A51" s="4" t="s">
        <v>285</v>
      </c>
      <c r="B51" s="4" t="s">
        <v>97</v>
      </c>
      <c r="C51" s="4" t="s">
        <v>43</v>
      </c>
      <c r="D51" s="4" t="s">
        <v>70</v>
      </c>
      <c r="E51" s="4" t="s">
        <v>14</v>
      </c>
      <c r="F51" s="5">
        <v>25000</v>
      </c>
      <c r="G51" s="4">
        <v>670</v>
      </c>
      <c r="H51" s="5">
        <v>300000</v>
      </c>
      <c r="I51" s="4" t="s">
        <v>29</v>
      </c>
      <c r="J51" s="4"/>
      <c r="K51" s="4"/>
    </row>
    <row r="52" spans="1:11" x14ac:dyDescent="0.3">
      <c r="A52" s="4" t="s">
        <v>122</v>
      </c>
      <c r="B52" s="4" t="s">
        <v>123</v>
      </c>
      <c r="C52" s="4" t="s">
        <v>53</v>
      </c>
      <c r="D52" s="4" t="s">
        <v>70</v>
      </c>
      <c r="E52" s="4" t="s">
        <v>14</v>
      </c>
      <c r="F52" s="5">
        <v>65000</v>
      </c>
      <c r="G52" s="4">
        <v>720</v>
      </c>
      <c r="H52" s="5">
        <v>50000</v>
      </c>
      <c r="I52" s="4" t="s">
        <v>29</v>
      </c>
      <c r="J52" s="4"/>
      <c r="K52" s="4"/>
    </row>
    <row r="53" spans="1:11" x14ac:dyDescent="0.3">
      <c r="A53" s="4" t="s">
        <v>262</v>
      </c>
      <c r="B53" s="4" t="s">
        <v>105</v>
      </c>
      <c r="C53" s="4" t="s">
        <v>12</v>
      </c>
      <c r="D53" s="4" t="s">
        <v>70</v>
      </c>
      <c r="E53" s="4" t="s">
        <v>14</v>
      </c>
      <c r="F53" s="5">
        <v>15000</v>
      </c>
      <c r="G53" s="4">
        <v>700</v>
      </c>
      <c r="H53" s="5">
        <v>75000</v>
      </c>
      <c r="I53" s="4" t="s">
        <v>29</v>
      </c>
      <c r="J53" s="4"/>
      <c r="K53" s="4"/>
    </row>
    <row r="54" spans="1:11" x14ac:dyDescent="0.3">
      <c r="A54" s="4" t="s">
        <v>165</v>
      </c>
      <c r="B54" s="4" t="s">
        <v>25</v>
      </c>
      <c r="C54" s="4" t="s">
        <v>43</v>
      </c>
      <c r="D54" s="4" t="s">
        <v>70</v>
      </c>
      <c r="E54" s="4" t="s">
        <v>28</v>
      </c>
      <c r="F54" s="5">
        <v>40000</v>
      </c>
      <c r="G54" s="4" t="s">
        <v>45</v>
      </c>
      <c r="H54" s="5">
        <v>100000</v>
      </c>
      <c r="I54" s="4" t="s">
        <v>29</v>
      </c>
      <c r="J54" s="4"/>
      <c r="K54" s="4"/>
    </row>
    <row r="55" spans="1:11" x14ac:dyDescent="0.3">
      <c r="A55" s="4" t="s">
        <v>99</v>
      </c>
      <c r="B55" s="4" t="s">
        <v>25</v>
      </c>
      <c r="C55" s="4" t="s">
        <v>43</v>
      </c>
      <c r="D55" s="4" t="s">
        <v>13</v>
      </c>
      <c r="E55" s="4" t="s">
        <v>14</v>
      </c>
      <c r="F55" s="5">
        <v>65000</v>
      </c>
      <c r="G55" s="4">
        <v>760</v>
      </c>
      <c r="H55" s="5">
        <v>50000</v>
      </c>
      <c r="I55" s="4" t="s">
        <v>29</v>
      </c>
      <c r="J55" s="4"/>
      <c r="K55" s="4"/>
    </row>
    <row r="56" spans="1:11" x14ac:dyDescent="0.3">
      <c r="A56" s="4" t="s">
        <v>318</v>
      </c>
      <c r="B56" s="4" t="s">
        <v>74</v>
      </c>
      <c r="C56" s="4" t="s">
        <v>53</v>
      </c>
      <c r="D56" s="4" t="s">
        <v>13</v>
      </c>
      <c r="E56" s="4" t="s">
        <v>14</v>
      </c>
      <c r="F56" s="5">
        <v>28000</v>
      </c>
      <c r="G56" s="4">
        <v>740</v>
      </c>
      <c r="H56" s="5">
        <v>75000</v>
      </c>
      <c r="I56" s="4" t="s">
        <v>29</v>
      </c>
      <c r="J56" s="4"/>
      <c r="K56" s="4"/>
    </row>
    <row r="57" spans="1:11" x14ac:dyDescent="0.3">
      <c r="A57" s="4" t="s">
        <v>269</v>
      </c>
      <c r="B57" s="4" t="s">
        <v>72</v>
      </c>
      <c r="C57" s="4" t="s">
        <v>26</v>
      </c>
      <c r="D57" s="4" t="s">
        <v>13</v>
      </c>
      <c r="E57" s="4" t="s">
        <v>14</v>
      </c>
      <c r="F57" s="5">
        <v>65000</v>
      </c>
      <c r="G57" s="4">
        <v>800</v>
      </c>
      <c r="H57" s="5">
        <v>200000</v>
      </c>
      <c r="I57" s="4" t="s">
        <v>29</v>
      </c>
      <c r="J57" s="4"/>
      <c r="K57" s="4"/>
    </row>
    <row r="58" spans="1:11" x14ac:dyDescent="0.3">
      <c r="A58" s="4" t="s">
        <v>319</v>
      </c>
      <c r="B58" s="4" t="s">
        <v>101</v>
      </c>
      <c r="C58" s="4" t="s">
        <v>26</v>
      </c>
      <c r="D58" s="4" t="s">
        <v>13</v>
      </c>
      <c r="E58" s="4" t="s">
        <v>14</v>
      </c>
      <c r="F58" s="5">
        <v>40000</v>
      </c>
      <c r="G58" s="4">
        <v>700</v>
      </c>
      <c r="H58" s="5">
        <v>150000</v>
      </c>
      <c r="I58" s="4" t="s">
        <v>29</v>
      </c>
      <c r="J58" s="4"/>
      <c r="K58" s="4"/>
    </row>
    <row r="59" spans="1:11" x14ac:dyDescent="0.3">
      <c r="A59" s="4" t="s">
        <v>174</v>
      </c>
      <c r="B59" s="4" t="s">
        <v>109</v>
      </c>
      <c r="C59" s="4" t="s">
        <v>12</v>
      </c>
      <c r="D59" s="4" t="s">
        <v>13</v>
      </c>
      <c r="E59" s="4" t="s">
        <v>14</v>
      </c>
      <c r="F59" s="5">
        <v>40000</v>
      </c>
      <c r="G59" s="4">
        <v>670</v>
      </c>
      <c r="H59" s="5">
        <v>75000</v>
      </c>
      <c r="I59" s="4" t="s">
        <v>29</v>
      </c>
      <c r="J59" s="4"/>
      <c r="K59" s="4"/>
    </row>
    <row r="60" spans="1:11" x14ac:dyDescent="0.3">
      <c r="A60" s="4" t="s">
        <v>33</v>
      </c>
      <c r="B60" s="4" t="s">
        <v>34</v>
      </c>
      <c r="C60" s="4" t="s">
        <v>35</v>
      </c>
      <c r="D60" s="4" t="s">
        <v>13</v>
      </c>
      <c r="E60" s="4" t="s">
        <v>28</v>
      </c>
      <c r="F60" s="5">
        <v>18000</v>
      </c>
      <c r="G60" s="4">
        <v>700</v>
      </c>
      <c r="H60" s="5">
        <v>200000</v>
      </c>
      <c r="I60" s="4" t="s">
        <v>29</v>
      </c>
      <c r="J60" s="4"/>
      <c r="K60" s="4"/>
    </row>
    <row r="61" spans="1:11" x14ac:dyDescent="0.3">
      <c r="A61" s="4" t="s">
        <v>247</v>
      </c>
      <c r="B61" s="4" t="s">
        <v>231</v>
      </c>
      <c r="C61" s="4" t="s">
        <v>53</v>
      </c>
      <c r="D61" s="4" t="s">
        <v>13</v>
      </c>
      <c r="E61" s="4" t="s">
        <v>28</v>
      </c>
      <c r="F61" s="5">
        <v>18000</v>
      </c>
      <c r="G61" s="4">
        <v>610</v>
      </c>
      <c r="H61" s="5">
        <v>75000</v>
      </c>
      <c r="I61" s="4" t="s">
        <v>29</v>
      </c>
      <c r="J61" s="4"/>
      <c r="K61" s="4"/>
    </row>
    <row r="62" spans="1:11" x14ac:dyDescent="0.3">
      <c r="A62" s="4" t="s">
        <v>178</v>
      </c>
      <c r="B62" s="4" t="s">
        <v>176</v>
      </c>
      <c r="C62" s="4" t="s">
        <v>22</v>
      </c>
      <c r="D62" s="4" t="s">
        <v>13</v>
      </c>
      <c r="E62" s="4" t="s">
        <v>28</v>
      </c>
      <c r="F62" s="5">
        <v>65000</v>
      </c>
      <c r="G62" s="4">
        <v>780</v>
      </c>
      <c r="H62" s="5">
        <v>300000</v>
      </c>
      <c r="I62" s="4" t="s">
        <v>29</v>
      </c>
      <c r="J62" s="4"/>
      <c r="K62" s="4"/>
    </row>
    <row r="63" spans="1:11" x14ac:dyDescent="0.3">
      <c r="A63" s="4" t="s">
        <v>234</v>
      </c>
      <c r="B63" s="4" t="s">
        <v>58</v>
      </c>
      <c r="C63" s="4" t="s">
        <v>12</v>
      </c>
      <c r="D63" s="4" t="s">
        <v>13</v>
      </c>
      <c r="E63" s="4" t="s">
        <v>28</v>
      </c>
      <c r="F63" s="5">
        <v>22000</v>
      </c>
      <c r="G63" s="4">
        <v>670</v>
      </c>
      <c r="H63" s="5">
        <v>50000</v>
      </c>
      <c r="I63" s="4" t="s">
        <v>29</v>
      </c>
      <c r="J63" s="4"/>
      <c r="K63" s="4"/>
    </row>
    <row r="64" spans="1:11" x14ac:dyDescent="0.3">
      <c r="A64" s="4" t="s">
        <v>312</v>
      </c>
      <c r="B64" s="4" t="s">
        <v>144</v>
      </c>
      <c r="C64" s="4" t="s">
        <v>43</v>
      </c>
      <c r="D64" s="4" t="s">
        <v>32</v>
      </c>
      <c r="E64" s="4" t="s">
        <v>14</v>
      </c>
      <c r="F64" s="5">
        <v>22000</v>
      </c>
      <c r="G64" s="4">
        <v>610</v>
      </c>
      <c r="H64" s="5">
        <v>300000</v>
      </c>
      <c r="I64" s="4" t="s">
        <v>29</v>
      </c>
      <c r="J64" s="4"/>
      <c r="K64" s="4"/>
    </row>
    <row r="65" spans="1:11" x14ac:dyDescent="0.3">
      <c r="A65" s="4" t="s">
        <v>245</v>
      </c>
      <c r="B65" s="4" t="s">
        <v>142</v>
      </c>
      <c r="C65" s="4" t="s">
        <v>53</v>
      </c>
      <c r="D65" s="4" t="s">
        <v>32</v>
      </c>
      <c r="E65" s="4" t="s">
        <v>14</v>
      </c>
      <c r="F65" s="5">
        <v>25000</v>
      </c>
      <c r="G65" s="4">
        <v>610</v>
      </c>
      <c r="H65" s="5">
        <v>100000</v>
      </c>
      <c r="I65" s="4" t="s">
        <v>29</v>
      </c>
      <c r="J65" s="4"/>
      <c r="K65" s="4"/>
    </row>
    <row r="66" spans="1:11" x14ac:dyDescent="0.3">
      <c r="A66" s="4" t="s">
        <v>102</v>
      </c>
      <c r="B66" s="4" t="s">
        <v>103</v>
      </c>
      <c r="C66" s="4" t="s">
        <v>22</v>
      </c>
      <c r="D66" s="4" t="s">
        <v>32</v>
      </c>
      <c r="E66" s="4" t="s">
        <v>14</v>
      </c>
      <c r="F66" s="5">
        <v>35000</v>
      </c>
      <c r="G66" s="4">
        <v>670</v>
      </c>
      <c r="H66" s="5">
        <v>300000</v>
      </c>
      <c r="I66" s="4" t="s">
        <v>29</v>
      </c>
      <c r="J66" s="4"/>
      <c r="K66" s="4"/>
    </row>
    <row r="67" spans="1:11" x14ac:dyDescent="0.3">
      <c r="A67" s="4" t="s">
        <v>287</v>
      </c>
      <c r="B67" s="4" t="s">
        <v>134</v>
      </c>
      <c r="C67" s="4" t="s">
        <v>22</v>
      </c>
      <c r="D67" s="4" t="s">
        <v>32</v>
      </c>
      <c r="E67" s="4" t="s">
        <v>14</v>
      </c>
      <c r="F67" s="5">
        <v>45000</v>
      </c>
      <c r="G67" s="4">
        <v>760</v>
      </c>
      <c r="H67" s="5">
        <v>300000</v>
      </c>
      <c r="I67" s="4" t="s">
        <v>29</v>
      </c>
      <c r="J67" s="4"/>
      <c r="K67" s="4"/>
    </row>
    <row r="68" spans="1:11" x14ac:dyDescent="0.3">
      <c r="A68" s="4" t="s">
        <v>232</v>
      </c>
      <c r="B68" s="4" t="s">
        <v>144</v>
      </c>
      <c r="C68" s="4" t="s">
        <v>43</v>
      </c>
      <c r="D68" s="4" t="s">
        <v>32</v>
      </c>
      <c r="E68" s="4" t="s">
        <v>28</v>
      </c>
      <c r="F68" s="5">
        <v>65000</v>
      </c>
      <c r="G68" s="4">
        <v>740</v>
      </c>
      <c r="H68" s="5">
        <v>50000</v>
      </c>
      <c r="I68" s="4" t="s">
        <v>29</v>
      </c>
      <c r="J68" s="4"/>
      <c r="K68" s="4"/>
    </row>
    <row r="69" spans="1:11" x14ac:dyDescent="0.3">
      <c r="A69" s="4" t="s">
        <v>215</v>
      </c>
      <c r="B69" s="4" t="s">
        <v>25</v>
      </c>
      <c r="C69" s="4" t="s">
        <v>53</v>
      </c>
      <c r="D69" s="4" t="s">
        <v>32</v>
      </c>
      <c r="E69" s="4" t="s">
        <v>28</v>
      </c>
      <c r="F69" s="5">
        <v>28000</v>
      </c>
      <c r="G69" s="4">
        <v>800</v>
      </c>
      <c r="H69" s="5">
        <v>300000</v>
      </c>
      <c r="I69" s="4" t="s">
        <v>29</v>
      </c>
      <c r="J69" s="4"/>
      <c r="K69" s="4"/>
    </row>
    <row r="70" spans="1:11" x14ac:dyDescent="0.3">
      <c r="A70" s="4" t="s">
        <v>316</v>
      </c>
      <c r="B70" s="4" t="s">
        <v>34</v>
      </c>
      <c r="C70" s="4" t="s">
        <v>53</v>
      </c>
      <c r="D70" s="4" t="s">
        <v>32</v>
      </c>
      <c r="E70" s="4" t="s">
        <v>28</v>
      </c>
      <c r="F70" s="5">
        <v>22000</v>
      </c>
      <c r="G70" s="4">
        <v>650</v>
      </c>
      <c r="H70" s="5">
        <v>75000</v>
      </c>
      <c r="I70" s="4" t="s">
        <v>29</v>
      </c>
      <c r="J70" s="4"/>
      <c r="K70" s="4"/>
    </row>
    <row r="71" spans="1:11" x14ac:dyDescent="0.3">
      <c r="A71" s="4" t="s">
        <v>364</v>
      </c>
      <c r="B71" s="4" t="s">
        <v>72</v>
      </c>
      <c r="C71" s="4" t="s">
        <v>53</v>
      </c>
      <c r="D71" s="4" t="s">
        <v>32</v>
      </c>
      <c r="E71" s="4" t="s">
        <v>28</v>
      </c>
      <c r="F71" s="5">
        <v>25000</v>
      </c>
      <c r="G71" s="4">
        <v>610</v>
      </c>
      <c r="H71" s="5">
        <v>200000</v>
      </c>
      <c r="I71" s="4" t="s">
        <v>29</v>
      </c>
      <c r="J71" s="4"/>
      <c r="K71" s="4"/>
    </row>
    <row r="72" spans="1:11" x14ac:dyDescent="0.3">
      <c r="A72" s="4" t="s">
        <v>324</v>
      </c>
      <c r="B72" s="4" t="s">
        <v>109</v>
      </c>
      <c r="C72" s="4" t="s">
        <v>22</v>
      </c>
      <c r="D72" s="4" t="s">
        <v>32</v>
      </c>
      <c r="E72" s="4" t="s">
        <v>28</v>
      </c>
      <c r="F72" s="5">
        <v>18000</v>
      </c>
      <c r="G72" s="4">
        <v>580</v>
      </c>
      <c r="H72" s="5">
        <v>150000</v>
      </c>
      <c r="I72" s="4" t="s">
        <v>29</v>
      </c>
      <c r="J72" s="4"/>
      <c r="K72" s="4"/>
    </row>
    <row r="73" spans="1:11" x14ac:dyDescent="0.3">
      <c r="A73" s="4" t="s">
        <v>156</v>
      </c>
      <c r="B73" s="4" t="s">
        <v>103</v>
      </c>
      <c r="C73" s="4" t="s">
        <v>43</v>
      </c>
      <c r="D73" s="4" t="s">
        <v>38</v>
      </c>
      <c r="E73" s="4" t="s">
        <v>14</v>
      </c>
      <c r="F73" s="5">
        <v>45000</v>
      </c>
      <c r="G73" s="4">
        <v>650</v>
      </c>
      <c r="H73" s="5">
        <v>50000</v>
      </c>
      <c r="I73" s="4" t="s">
        <v>29</v>
      </c>
      <c r="J73" s="4"/>
      <c r="K73" s="4"/>
    </row>
    <row r="74" spans="1:11" x14ac:dyDescent="0.3">
      <c r="A74" s="4" t="s">
        <v>298</v>
      </c>
      <c r="B74" s="4" t="s">
        <v>69</v>
      </c>
      <c r="C74" s="4" t="s">
        <v>26</v>
      </c>
      <c r="D74" s="4" t="s">
        <v>38</v>
      </c>
      <c r="E74" s="4" t="s">
        <v>14</v>
      </c>
      <c r="F74" s="5">
        <v>15000</v>
      </c>
      <c r="G74" s="4">
        <v>700</v>
      </c>
      <c r="H74" s="5">
        <v>50000</v>
      </c>
      <c r="I74" s="4" t="s">
        <v>29</v>
      </c>
      <c r="J74" s="4"/>
      <c r="K74" s="4"/>
    </row>
    <row r="75" spans="1:11" x14ac:dyDescent="0.3">
      <c r="A75" s="4" t="s">
        <v>164</v>
      </c>
      <c r="B75" s="4" t="s">
        <v>76</v>
      </c>
      <c r="C75" s="4" t="s">
        <v>43</v>
      </c>
      <c r="D75" s="4" t="s">
        <v>38</v>
      </c>
      <c r="E75" s="4" t="s">
        <v>28</v>
      </c>
      <c r="F75" s="5">
        <v>15000</v>
      </c>
      <c r="G75" s="4">
        <v>650</v>
      </c>
      <c r="H75" s="5">
        <v>150000</v>
      </c>
      <c r="I75" s="4" t="s">
        <v>29</v>
      </c>
      <c r="J75" s="4"/>
      <c r="K75" s="4"/>
    </row>
    <row r="76" spans="1:11" x14ac:dyDescent="0.3">
      <c r="A76" s="4" t="s">
        <v>367</v>
      </c>
      <c r="B76" s="4" t="s">
        <v>97</v>
      </c>
      <c r="C76" s="4" t="s">
        <v>43</v>
      </c>
      <c r="D76" s="4" t="s">
        <v>38</v>
      </c>
      <c r="E76" s="4" t="s">
        <v>28</v>
      </c>
      <c r="F76" s="5">
        <v>45000</v>
      </c>
      <c r="G76" s="4" t="s">
        <v>45</v>
      </c>
      <c r="H76" s="5">
        <v>150000</v>
      </c>
      <c r="I76" s="4" t="s">
        <v>29</v>
      </c>
      <c r="J76" s="4"/>
      <c r="K76" s="4"/>
    </row>
    <row r="77" spans="1:11" x14ac:dyDescent="0.3">
      <c r="A77" s="4" t="s">
        <v>157</v>
      </c>
      <c r="B77" s="4" t="s">
        <v>158</v>
      </c>
      <c r="C77" s="4" t="s">
        <v>22</v>
      </c>
      <c r="D77" s="4" t="s">
        <v>38</v>
      </c>
      <c r="E77" s="4" t="s">
        <v>28</v>
      </c>
      <c r="F77" s="5">
        <v>40000</v>
      </c>
      <c r="G77" s="4">
        <v>780</v>
      </c>
      <c r="H77" s="5">
        <v>200000</v>
      </c>
      <c r="I77" s="4" t="s">
        <v>29</v>
      </c>
      <c r="J77" s="4"/>
      <c r="K77" s="4"/>
    </row>
    <row r="78" spans="1:11" x14ac:dyDescent="0.3">
      <c r="A78" s="4" t="s">
        <v>335</v>
      </c>
      <c r="B78" s="4" t="s">
        <v>158</v>
      </c>
      <c r="C78" s="4" t="s">
        <v>12</v>
      </c>
      <c r="D78" s="4" t="s">
        <v>38</v>
      </c>
      <c r="E78" s="4" t="s">
        <v>28</v>
      </c>
      <c r="F78" s="5">
        <v>45000</v>
      </c>
      <c r="G78" s="4">
        <v>670</v>
      </c>
      <c r="H78" s="5">
        <v>250000</v>
      </c>
      <c r="I78" s="4" t="s">
        <v>29</v>
      </c>
      <c r="J78" s="4"/>
      <c r="K78" s="4"/>
    </row>
    <row r="79" spans="1:11" x14ac:dyDescent="0.3">
      <c r="A79" s="4" t="s">
        <v>251</v>
      </c>
      <c r="B79" s="4" t="s">
        <v>69</v>
      </c>
      <c r="C79" s="4" t="s">
        <v>43</v>
      </c>
      <c r="D79" s="4" t="s">
        <v>27</v>
      </c>
      <c r="E79" s="4" t="s">
        <v>14</v>
      </c>
      <c r="F79" s="5">
        <v>65000</v>
      </c>
      <c r="G79" s="4">
        <v>740</v>
      </c>
      <c r="H79" s="5">
        <v>100000</v>
      </c>
      <c r="I79" s="4" t="s">
        <v>29</v>
      </c>
      <c r="J79" s="4"/>
      <c r="K79" s="4"/>
    </row>
    <row r="80" spans="1:11" x14ac:dyDescent="0.3">
      <c r="A80" s="4" t="s">
        <v>78</v>
      </c>
      <c r="B80" s="4" t="s">
        <v>72</v>
      </c>
      <c r="C80" s="4" t="s">
        <v>53</v>
      </c>
      <c r="D80" s="4" t="s">
        <v>27</v>
      </c>
      <c r="E80" s="4" t="s">
        <v>14</v>
      </c>
      <c r="F80" s="5">
        <v>25000</v>
      </c>
      <c r="G80" s="4">
        <v>780</v>
      </c>
      <c r="H80" s="5">
        <v>50000</v>
      </c>
      <c r="I80" s="4" t="s">
        <v>29</v>
      </c>
      <c r="J80" s="4"/>
      <c r="K80" s="4"/>
    </row>
    <row r="81" spans="1:11" x14ac:dyDescent="0.3">
      <c r="A81" s="4" t="s">
        <v>57</v>
      </c>
      <c r="B81" s="4" t="s">
        <v>58</v>
      </c>
      <c r="C81" s="4" t="s">
        <v>43</v>
      </c>
      <c r="D81" s="4" t="s">
        <v>27</v>
      </c>
      <c r="E81" s="4" t="s">
        <v>28</v>
      </c>
      <c r="F81" s="5">
        <v>15000</v>
      </c>
      <c r="G81" s="4">
        <v>650</v>
      </c>
      <c r="H81" s="5">
        <v>300000</v>
      </c>
      <c r="I81" s="4" t="s">
        <v>29</v>
      </c>
      <c r="J81" s="4"/>
      <c r="K81" s="4"/>
    </row>
    <row r="82" spans="1:11" x14ac:dyDescent="0.3">
      <c r="A82" s="4" t="s">
        <v>143</v>
      </c>
      <c r="B82" s="4" t="s">
        <v>144</v>
      </c>
      <c r="C82" s="4" t="s">
        <v>43</v>
      </c>
      <c r="D82" s="4" t="s">
        <v>27</v>
      </c>
      <c r="E82" s="4" t="s">
        <v>28</v>
      </c>
      <c r="F82" s="5">
        <v>35000</v>
      </c>
      <c r="G82" s="4">
        <v>580</v>
      </c>
      <c r="H82" s="5">
        <v>100000</v>
      </c>
      <c r="I82" s="4" t="s">
        <v>29</v>
      </c>
      <c r="J82" s="4"/>
      <c r="K82" s="4"/>
    </row>
    <row r="83" spans="1:11" x14ac:dyDescent="0.3">
      <c r="A83" s="4" t="s">
        <v>293</v>
      </c>
      <c r="B83" s="4" t="s">
        <v>11</v>
      </c>
      <c r="C83" s="4" t="s">
        <v>43</v>
      </c>
      <c r="D83" s="4" t="s">
        <v>27</v>
      </c>
      <c r="E83" s="4" t="s">
        <v>28</v>
      </c>
      <c r="F83" s="5">
        <v>32000</v>
      </c>
      <c r="G83" s="4">
        <v>800</v>
      </c>
      <c r="H83" s="5">
        <v>75000</v>
      </c>
      <c r="I83" s="4" t="s">
        <v>29</v>
      </c>
      <c r="J83" s="4"/>
      <c r="K83" s="4"/>
    </row>
    <row r="84" spans="1:11" x14ac:dyDescent="0.3">
      <c r="A84" s="4" t="s">
        <v>162</v>
      </c>
      <c r="B84" s="4" t="s">
        <v>97</v>
      </c>
      <c r="C84" s="4" t="s">
        <v>53</v>
      </c>
      <c r="D84" s="4" t="s">
        <v>27</v>
      </c>
      <c r="E84" s="4" t="s">
        <v>28</v>
      </c>
      <c r="F84" s="5">
        <v>32000</v>
      </c>
      <c r="G84" s="4">
        <v>700</v>
      </c>
      <c r="H84" s="5">
        <v>50000</v>
      </c>
      <c r="I84" s="4" t="s">
        <v>29</v>
      </c>
      <c r="J84" s="4"/>
      <c r="K84" s="4"/>
    </row>
    <row r="85" spans="1:11" x14ac:dyDescent="0.3">
      <c r="A85" s="4" t="s">
        <v>24</v>
      </c>
      <c r="B85" s="4" t="s">
        <v>25</v>
      </c>
      <c r="C85" s="4" t="s">
        <v>26</v>
      </c>
      <c r="D85" s="4" t="s">
        <v>27</v>
      </c>
      <c r="E85" s="4" t="s">
        <v>28</v>
      </c>
      <c r="F85" s="5">
        <v>55000</v>
      </c>
      <c r="G85" s="4">
        <v>670</v>
      </c>
      <c r="H85" s="5">
        <v>50000</v>
      </c>
      <c r="I85" s="4" t="s">
        <v>29</v>
      </c>
      <c r="J85" s="4"/>
      <c r="K85" s="4"/>
    </row>
    <row r="86" spans="1:11" x14ac:dyDescent="0.3">
      <c r="A86" s="4" t="s">
        <v>250</v>
      </c>
      <c r="B86" s="4" t="s">
        <v>58</v>
      </c>
      <c r="C86" s="4" t="s">
        <v>12</v>
      </c>
      <c r="D86" s="4" t="s">
        <v>27</v>
      </c>
      <c r="E86" s="4" t="s">
        <v>28</v>
      </c>
      <c r="F86" s="5">
        <v>15000</v>
      </c>
      <c r="G86" s="4">
        <v>780</v>
      </c>
      <c r="H86" s="5">
        <v>200000</v>
      </c>
      <c r="I86" s="4" t="s">
        <v>29</v>
      </c>
      <c r="J86" s="4"/>
      <c r="K86" s="4"/>
    </row>
    <row r="87" spans="1:11" x14ac:dyDescent="0.3">
      <c r="A87" s="4" t="s">
        <v>108</v>
      </c>
      <c r="B87" s="4" t="s">
        <v>109</v>
      </c>
      <c r="C87" s="4" t="s">
        <v>43</v>
      </c>
      <c r="D87" s="4" t="s">
        <v>65</v>
      </c>
      <c r="E87" s="4" t="s">
        <v>14</v>
      </c>
      <c r="F87" s="5">
        <v>45000</v>
      </c>
      <c r="G87" s="4">
        <v>580</v>
      </c>
      <c r="H87" s="5">
        <v>50000</v>
      </c>
      <c r="I87" s="4" t="s">
        <v>29</v>
      </c>
      <c r="J87" s="4"/>
      <c r="K87" s="4"/>
    </row>
    <row r="88" spans="1:11" x14ac:dyDescent="0.3">
      <c r="A88" s="4" t="s">
        <v>130</v>
      </c>
      <c r="B88" s="4" t="s">
        <v>131</v>
      </c>
      <c r="C88" s="4" t="s">
        <v>43</v>
      </c>
      <c r="D88" s="4" t="s">
        <v>65</v>
      </c>
      <c r="E88" s="4" t="s">
        <v>14</v>
      </c>
      <c r="F88" s="5">
        <v>22000</v>
      </c>
      <c r="G88" s="4">
        <v>610</v>
      </c>
      <c r="H88" s="5">
        <v>50000</v>
      </c>
      <c r="I88" s="4" t="s">
        <v>29</v>
      </c>
      <c r="J88" s="4"/>
      <c r="K88" s="4"/>
    </row>
    <row r="89" spans="1:11" x14ac:dyDescent="0.3">
      <c r="A89" s="4" t="s">
        <v>146</v>
      </c>
      <c r="B89" s="4" t="s">
        <v>147</v>
      </c>
      <c r="C89" s="4" t="s">
        <v>43</v>
      </c>
      <c r="D89" s="4" t="s">
        <v>65</v>
      </c>
      <c r="E89" s="4" t="s">
        <v>14</v>
      </c>
      <c r="F89" s="5">
        <v>35000</v>
      </c>
      <c r="G89" s="4">
        <v>800</v>
      </c>
      <c r="H89" s="5">
        <v>250000</v>
      </c>
      <c r="I89" s="4" t="s">
        <v>29</v>
      </c>
      <c r="J89" s="4"/>
      <c r="K89" s="4"/>
    </row>
    <row r="90" spans="1:11" x14ac:dyDescent="0.3">
      <c r="A90" s="4" t="s">
        <v>346</v>
      </c>
      <c r="B90" s="4" t="s">
        <v>151</v>
      </c>
      <c r="C90" s="4" t="s">
        <v>35</v>
      </c>
      <c r="D90" s="4" t="s">
        <v>65</v>
      </c>
      <c r="E90" s="4" t="s">
        <v>14</v>
      </c>
      <c r="F90" s="5">
        <v>40000</v>
      </c>
      <c r="G90" s="4">
        <v>610</v>
      </c>
      <c r="H90" s="5">
        <v>150000</v>
      </c>
      <c r="I90" s="4" t="s">
        <v>29</v>
      </c>
      <c r="J90" s="4"/>
      <c r="K90" s="4"/>
    </row>
    <row r="91" spans="1:11" x14ac:dyDescent="0.3">
      <c r="A91" s="4" t="s">
        <v>207</v>
      </c>
      <c r="B91" s="4" t="s">
        <v>147</v>
      </c>
      <c r="C91" s="4" t="s">
        <v>53</v>
      </c>
      <c r="D91" s="4" t="s">
        <v>65</v>
      </c>
      <c r="E91" s="4" t="s">
        <v>14</v>
      </c>
      <c r="F91" s="5">
        <v>15000</v>
      </c>
      <c r="G91" s="4">
        <v>610</v>
      </c>
      <c r="H91" s="5">
        <v>200000</v>
      </c>
      <c r="I91" s="4" t="s">
        <v>29</v>
      </c>
      <c r="J91" s="4"/>
      <c r="K91" s="4"/>
    </row>
    <row r="92" spans="1:11" x14ac:dyDescent="0.3">
      <c r="A92" s="4" t="s">
        <v>310</v>
      </c>
      <c r="B92" s="4" t="s">
        <v>107</v>
      </c>
      <c r="C92" s="4" t="s">
        <v>22</v>
      </c>
      <c r="D92" s="4" t="s">
        <v>65</v>
      </c>
      <c r="E92" s="4" t="s">
        <v>14</v>
      </c>
      <c r="F92" s="5">
        <v>18000</v>
      </c>
      <c r="G92" s="4">
        <v>670</v>
      </c>
      <c r="H92" s="5">
        <v>50000</v>
      </c>
      <c r="I92" s="4" t="s">
        <v>29</v>
      </c>
      <c r="J92" s="4"/>
      <c r="K92" s="4"/>
    </row>
    <row r="93" spans="1:11" x14ac:dyDescent="0.3">
      <c r="A93" s="4" t="s">
        <v>295</v>
      </c>
      <c r="B93" s="4" t="s">
        <v>231</v>
      </c>
      <c r="C93" s="4" t="s">
        <v>35</v>
      </c>
      <c r="D93" s="4" t="s">
        <v>65</v>
      </c>
      <c r="E93" s="4" t="s">
        <v>28</v>
      </c>
      <c r="F93" s="5">
        <v>40000</v>
      </c>
      <c r="G93" s="4">
        <v>780</v>
      </c>
      <c r="H93" s="5">
        <v>150000</v>
      </c>
      <c r="I93" s="4" t="s">
        <v>29</v>
      </c>
      <c r="J93" s="4"/>
      <c r="K93" s="4"/>
    </row>
    <row r="94" spans="1:11" x14ac:dyDescent="0.3">
      <c r="A94" s="4" t="s">
        <v>185</v>
      </c>
      <c r="B94" s="4" t="s">
        <v>136</v>
      </c>
      <c r="C94" s="4" t="s">
        <v>53</v>
      </c>
      <c r="D94" s="4" t="s">
        <v>65</v>
      </c>
      <c r="E94" s="4" t="s">
        <v>28</v>
      </c>
      <c r="F94" s="5">
        <v>25000</v>
      </c>
      <c r="G94" s="4">
        <v>700</v>
      </c>
      <c r="H94" s="5">
        <v>100000</v>
      </c>
      <c r="I94" s="4" t="s">
        <v>29</v>
      </c>
      <c r="J94" s="4"/>
      <c r="K94" s="4"/>
    </row>
    <row r="95" spans="1:11" x14ac:dyDescent="0.3">
      <c r="A95" s="4" t="s">
        <v>64</v>
      </c>
      <c r="B95" s="4" t="s">
        <v>37</v>
      </c>
      <c r="C95" s="4" t="s">
        <v>22</v>
      </c>
      <c r="D95" s="4" t="s">
        <v>65</v>
      </c>
      <c r="E95" s="4" t="s">
        <v>28</v>
      </c>
      <c r="F95" s="5">
        <v>18000</v>
      </c>
      <c r="G95" s="4" t="s">
        <v>45</v>
      </c>
      <c r="H95" s="5">
        <v>75000</v>
      </c>
      <c r="I95" s="4" t="s">
        <v>29</v>
      </c>
      <c r="J95" s="4"/>
      <c r="K95" s="4"/>
    </row>
    <row r="96" spans="1:11" x14ac:dyDescent="0.3">
      <c r="A96" s="4" t="s">
        <v>98</v>
      </c>
      <c r="B96" s="4" t="s">
        <v>83</v>
      </c>
      <c r="C96" s="4" t="s">
        <v>26</v>
      </c>
      <c r="D96" s="4" t="s">
        <v>65</v>
      </c>
      <c r="E96" s="4" t="s">
        <v>28</v>
      </c>
      <c r="F96" s="5">
        <v>40000</v>
      </c>
      <c r="G96" s="4">
        <v>650</v>
      </c>
      <c r="H96" s="5">
        <v>50000</v>
      </c>
      <c r="I96" s="4" t="s">
        <v>29</v>
      </c>
      <c r="J96" s="4"/>
      <c r="K96" s="4"/>
    </row>
    <row r="97" spans="1:11" x14ac:dyDescent="0.3">
      <c r="A97" s="4" t="s">
        <v>344</v>
      </c>
      <c r="B97" s="4" t="s">
        <v>34</v>
      </c>
      <c r="C97" s="4" t="s">
        <v>12</v>
      </c>
      <c r="D97" s="4" t="s">
        <v>65</v>
      </c>
      <c r="E97" s="4" t="s">
        <v>28</v>
      </c>
      <c r="F97" s="5">
        <v>45000</v>
      </c>
      <c r="G97" s="4">
        <v>720</v>
      </c>
      <c r="H97" s="5">
        <v>50000</v>
      </c>
      <c r="I97" s="4" t="s">
        <v>29</v>
      </c>
      <c r="J97" s="4"/>
      <c r="K97" s="4"/>
    </row>
    <row r="98" spans="1:11" x14ac:dyDescent="0.3">
      <c r="A98" s="4" t="s">
        <v>243</v>
      </c>
      <c r="B98" s="4" t="s">
        <v>88</v>
      </c>
      <c r="C98" s="4" t="s">
        <v>43</v>
      </c>
      <c r="D98" s="4" t="s">
        <v>60</v>
      </c>
      <c r="E98" s="4" t="s">
        <v>14</v>
      </c>
      <c r="F98" s="5">
        <v>65000</v>
      </c>
      <c r="G98" s="4">
        <v>580</v>
      </c>
      <c r="H98" s="5">
        <v>250000</v>
      </c>
      <c r="I98" s="4" t="s">
        <v>29</v>
      </c>
      <c r="J98" s="4"/>
      <c r="K98" s="4"/>
    </row>
    <row r="99" spans="1:11" x14ac:dyDescent="0.3">
      <c r="A99" s="4" t="s">
        <v>309</v>
      </c>
      <c r="B99" s="4" t="s">
        <v>81</v>
      </c>
      <c r="C99" s="4" t="s">
        <v>53</v>
      </c>
      <c r="D99" s="4" t="s">
        <v>60</v>
      </c>
      <c r="E99" s="4" t="s">
        <v>14</v>
      </c>
      <c r="F99" s="5">
        <v>25000</v>
      </c>
      <c r="G99" s="4">
        <v>700</v>
      </c>
      <c r="H99" s="5">
        <v>150000</v>
      </c>
      <c r="I99" s="4" t="s">
        <v>29</v>
      </c>
      <c r="J99" s="4"/>
      <c r="K99" s="4"/>
    </row>
    <row r="100" spans="1:11" x14ac:dyDescent="0.3">
      <c r="A100" s="4" t="s">
        <v>59</v>
      </c>
      <c r="B100" s="4" t="s">
        <v>17</v>
      </c>
      <c r="C100" s="4" t="s">
        <v>26</v>
      </c>
      <c r="D100" s="4" t="s">
        <v>60</v>
      </c>
      <c r="E100" s="4" t="s">
        <v>14</v>
      </c>
      <c r="F100" s="5">
        <v>25000</v>
      </c>
      <c r="G100" s="4">
        <v>780</v>
      </c>
      <c r="H100" s="5">
        <v>100000</v>
      </c>
      <c r="I100" s="4" t="s">
        <v>29</v>
      </c>
      <c r="J100" s="4"/>
      <c r="K100" s="4"/>
    </row>
    <row r="101" spans="1:11" x14ac:dyDescent="0.3">
      <c r="A101" s="4" t="s">
        <v>202</v>
      </c>
      <c r="B101" s="4" t="s">
        <v>37</v>
      </c>
      <c r="C101" s="4" t="s">
        <v>26</v>
      </c>
      <c r="D101" s="4" t="s">
        <v>60</v>
      </c>
      <c r="E101" s="4" t="s">
        <v>14</v>
      </c>
      <c r="F101" s="5">
        <v>55000</v>
      </c>
      <c r="G101" s="4">
        <v>580</v>
      </c>
      <c r="H101" s="5">
        <v>75000</v>
      </c>
      <c r="I101" s="4" t="s">
        <v>29</v>
      </c>
      <c r="J101" s="4"/>
      <c r="K101" s="4"/>
    </row>
    <row r="102" spans="1:11" x14ac:dyDescent="0.3">
      <c r="A102" s="4" t="s">
        <v>327</v>
      </c>
      <c r="B102" s="4" t="s">
        <v>48</v>
      </c>
      <c r="C102" s="4" t="s">
        <v>35</v>
      </c>
      <c r="D102" s="4" t="s">
        <v>18</v>
      </c>
      <c r="E102" s="4" t="s">
        <v>14</v>
      </c>
      <c r="F102" s="5">
        <v>35000</v>
      </c>
      <c r="G102" s="4">
        <v>740</v>
      </c>
      <c r="H102" s="5">
        <v>150000</v>
      </c>
      <c r="I102" s="4" t="s">
        <v>19</v>
      </c>
      <c r="J102" s="4"/>
      <c r="K102" s="4"/>
    </row>
    <row r="103" spans="1:11" x14ac:dyDescent="0.3">
      <c r="A103" s="4" t="s">
        <v>16</v>
      </c>
      <c r="B103" s="4" t="s">
        <v>17</v>
      </c>
      <c r="C103" s="4" t="s">
        <v>12</v>
      </c>
      <c r="D103" s="4" t="s">
        <v>18</v>
      </c>
      <c r="E103" s="4" t="s">
        <v>14</v>
      </c>
      <c r="F103" s="5">
        <v>55000</v>
      </c>
      <c r="G103" s="4">
        <v>720</v>
      </c>
      <c r="H103" s="5">
        <v>50000</v>
      </c>
      <c r="I103" s="4" t="s">
        <v>19</v>
      </c>
      <c r="J103" s="4"/>
      <c r="K103" s="4"/>
    </row>
    <row r="104" spans="1:11" x14ac:dyDescent="0.3">
      <c r="A104" s="4" t="s">
        <v>126</v>
      </c>
      <c r="B104" s="4" t="s">
        <v>105</v>
      </c>
      <c r="C104" s="4" t="s">
        <v>35</v>
      </c>
      <c r="D104" s="4" t="s">
        <v>13</v>
      </c>
      <c r="E104" s="4" t="s">
        <v>14</v>
      </c>
      <c r="F104" s="5">
        <v>22000</v>
      </c>
      <c r="G104" s="4">
        <v>760</v>
      </c>
      <c r="H104" s="5">
        <v>100000</v>
      </c>
      <c r="I104" s="4" t="s">
        <v>19</v>
      </c>
      <c r="J104" s="4"/>
      <c r="K104" s="4"/>
    </row>
    <row r="105" spans="1:11" x14ac:dyDescent="0.3">
      <c r="A105" s="4" t="s">
        <v>248</v>
      </c>
      <c r="B105" s="4" t="s">
        <v>140</v>
      </c>
      <c r="C105" s="4" t="s">
        <v>12</v>
      </c>
      <c r="D105" s="4" t="s">
        <v>32</v>
      </c>
      <c r="E105" s="4" t="s">
        <v>28</v>
      </c>
      <c r="F105" s="5">
        <v>18000</v>
      </c>
      <c r="G105" s="4">
        <v>720</v>
      </c>
      <c r="H105" s="5">
        <v>200000</v>
      </c>
      <c r="I105" s="4" t="s">
        <v>19</v>
      </c>
      <c r="J105" s="4"/>
      <c r="K105" s="4"/>
    </row>
    <row r="106" spans="1:11" x14ac:dyDescent="0.3">
      <c r="A106" s="4" t="s">
        <v>392</v>
      </c>
      <c r="B106" s="4" t="s">
        <v>109</v>
      </c>
      <c r="C106" s="4" t="s">
        <v>26</v>
      </c>
      <c r="D106" s="4" t="s">
        <v>38</v>
      </c>
      <c r="E106" s="4" t="s">
        <v>14</v>
      </c>
      <c r="F106" s="5">
        <v>28000</v>
      </c>
      <c r="G106" s="4" t="s">
        <v>45</v>
      </c>
      <c r="H106" s="5">
        <v>200000</v>
      </c>
      <c r="I106" s="4" t="s">
        <v>19</v>
      </c>
      <c r="J106" s="4"/>
      <c r="K106" s="4"/>
    </row>
    <row r="107" spans="1:11" x14ac:dyDescent="0.3">
      <c r="A107" s="4" t="s">
        <v>331</v>
      </c>
      <c r="B107" s="4" t="s">
        <v>88</v>
      </c>
      <c r="C107" s="4" t="s">
        <v>12</v>
      </c>
      <c r="D107" s="4" t="s">
        <v>38</v>
      </c>
      <c r="E107" s="4" t="s">
        <v>14</v>
      </c>
      <c r="F107" s="5">
        <v>28000</v>
      </c>
      <c r="G107" s="4">
        <v>650</v>
      </c>
      <c r="H107" s="5">
        <v>75000</v>
      </c>
      <c r="I107" s="4" t="s">
        <v>19</v>
      </c>
      <c r="J107" s="4"/>
      <c r="K107" s="4"/>
    </row>
    <row r="108" spans="1:11" x14ac:dyDescent="0.3">
      <c r="A108" s="4" t="s">
        <v>85</v>
      </c>
      <c r="B108" s="4" t="s">
        <v>86</v>
      </c>
      <c r="C108" s="4" t="s">
        <v>35</v>
      </c>
      <c r="D108" s="4" t="s">
        <v>27</v>
      </c>
      <c r="E108" s="4" t="s">
        <v>14</v>
      </c>
      <c r="F108" s="5">
        <v>18000</v>
      </c>
      <c r="G108" s="4">
        <v>700</v>
      </c>
      <c r="H108" s="5">
        <v>200000</v>
      </c>
      <c r="I108" s="4" t="s">
        <v>19</v>
      </c>
      <c r="J108" s="4"/>
      <c r="K108" s="4"/>
    </row>
    <row r="109" spans="1:11" x14ac:dyDescent="0.3">
      <c r="A109" s="4" t="s">
        <v>226</v>
      </c>
      <c r="B109" s="4" t="s">
        <v>153</v>
      </c>
      <c r="C109" s="4" t="s">
        <v>12</v>
      </c>
      <c r="D109" s="4" t="s">
        <v>27</v>
      </c>
      <c r="E109" s="4" t="s">
        <v>28</v>
      </c>
      <c r="F109" s="5">
        <v>25000</v>
      </c>
      <c r="G109" s="4">
        <v>720</v>
      </c>
      <c r="H109" s="5">
        <v>250000</v>
      </c>
      <c r="I109" s="4" t="s">
        <v>19</v>
      </c>
      <c r="J109" s="4"/>
      <c r="K109" s="4"/>
    </row>
    <row r="110" spans="1:11" x14ac:dyDescent="0.3">
      <c r="A110" s="4" t="s">
        <v>397</v>
      </c>
      <c r="B110" s="4" t="s">
        <v>62</v>
      </c>
      <c r="C110" s="4" t="s">
        <v>22</v>
      </c>
      <c r="D110" s="4" t="s">
        <v>65</v>
      </c>
      <c r="E110" s="4" t="s">
        <v>28</v>
      </c>
      <c r="F110" s="5">
        <v>32000</v>
      </c>
      <c r="G110" s="4">
        <v>650</v>
      </c>
      <c r="H110" s="5">
        <v>150000</v>
      </c>
      <c r="I110" s="4" t="s">
        <v>19</v>
      </c>
      <c r="J110" s="4"/>
      <c r="K110" s="4"/>
    </row>
    <row r="111" spans="1:11" x14ac:dyDescent="0.3">
      <c r="A111" s="4" t="s">
        <v>152</v>
      </c>
      <c r="B111" s="4" t="s">
        <v>153</v>
      </c>
      <c r="C111" s="4" t="s">
        <v>22</v>
      </c>
      <c r="D111" s="4" t="s">
        <v>60</v>
      </c>
      <c r="E111" s="4" t="s">
        <v>14</v>
      </c>
      <c r="F111" s="5">
        <v>25000</v>
      </c>
      <c r="G111" s="4">
        <v>610</v>
      </c>
      <c r="H111" s="5">
        <v>75000</v>
      </c>
      <c r="I111" s="4" t="s">
        <v>19</v>
      </c>
      <c r="J111" s="4"/>
      <c r="K111" s="4"/>
    </row>
    <row r="112" spans="1:11" x14ac:dyDescent="0.3">
      <c r="A112" s="4" t="s">
        <v>278</v>
      </c>
      <c r="B112" s="4" t="s">
        <v>199</v>
      </c>
      <c r="C112" s="4" t="s">
        <v>22</v>
      </c>
      <c r="D112" s="4" t="s">
        <v>60</v>
      </c>
      <c r="E112" s="4" t="s">
        <v>28</v>
      </c>
      <c r="F112" s="5">
        <v>32000</v>
      </c>
      <c r="G112" s="4">
        <v>700</v>
      </c>
      <c r="H112" s="5">
        <v>300000</v>
      </c>
      <c r="I112" s="4" t="s">
        <v>19</v>
      </c>
      <c r="J112" s="4"/>
      <c r="K112" s="4"/>
    </row>
    <row r="113" spans="1:11" x14ac:dyDescent="0.3">
      <c r="A113" s="4" t="s">
        <v>118</v>
      </c>
      <c r="B113" s="4" t="s">
        <v>11</v>
      </c>
      <c r="C113" s="4" t="s">
        <v>43</v>
      </c>
      <c r="D113" s="4" t="s">
        <v>18</v>
      </c>
      <c r="E113" s="4" t="s">
        <v>14</v>
      </c>
      <c r="F113" s="5">
        <v>65000</v>
      </c>
      <c r="G113" s="4">
        <v>760</v>
      </c>
      <c r="H113" s="5">
        <v>250000</v>
      </c>
      <c r="I113" s="4" t="s">
        <v>56</v>
      </c>
      <c r="J113" s="4"/>
      <c r="K113" s="4"/>
    </row>
    <row r="114" spans="1:11" x14ac:dyDescent="0.3">
      <c r="A114" s="4" t="s">
        <v>191</v>
      </c>
      <c r="B114" s="4" t="s">
        <v>125</v>
      </c>
      <c r="C114" s="4" t="s">
        <v>43</v>
      </c>
      <c r="D114" s="4" t="s">
        <v>44</v>
      </c>
      <c r="E114" s="4" t="s">
        <v>28</v>
      </c>
      <c r="F114" s="5">
        <v>45000</v>
      </c>
      <c r="G114" s="4">
        <v>760</v>
      </c>
      <c r="H114" s="5">
        <v>250000</v>
      </c>
      <c r="I114" s="4" t="s">
        <v>56</v>
      </c>
      <c r="J114" s="4"/>
      <c r="K114" s="4"/>
    </row>
    <row r="115" spans="1:11" x14ac:dyDescent="0.3">
      <c r="A115" s="4" t="s">
        <v>256</v>
      </c>
      <c r="B115" s="4" t="s">
        <v>257</v>
      </c>
      <c r="C115" s="4" t="s">
        <v>35</v>
      </c>
      <c r="D115" s="4" t="s">
        <v>44</v>
      </c>
      <c r="E115" s="4" t="s">
        <v>28</v>
      </c>
      <c r="F115" s="5">
        <v>15000</v>
      </c>
      <c r="G115" s="4">
        <v>720</v>
      </c>
      <c r="H115" s="5">
        <v>50000</v>
      </c>
      <c r="I115" s="4" t="s">
        <v>56</v>
      </c>
      <c r="J115" s="4"/>
      <c r="K115" s="4"/>
    </row>
    <row r="116" spans="1:11" x14ac:dyDescent="0.3">
      <c r="A116" s="4" t="s">
        <v>192</v>
      </c>
      <c r="B116" s="4" t="s">
        <v>72</v>
      </c>
      <c r="C116" s="4" t="s">
        <v>53</v>
      </c>
      <c r="D116" s="4" t="s">
        <v>44</v>
      </c>
      <c r="E116" s="4" t="s">
        <v>28</v>
      </c>
      <c r="F116" s="5">
        <v>28000</v>
      </c>
      <c r="G116" s="4">
        <v>670</v>
      </c>
      <c r="H116" s="5">
        <v>50000</v>
      </c>
      <c r="I116" s="4" t="s">
        <v>56</v>
      </c>
      <c r="J116" s="4"/>
      <c r="K116" s="4"/>
    </row>
    <row r="117" spans="1:11" x14ac:dyDescent="0.3">
      <c r="A117" s="4" t="s">
        <v>132</v>
      </c>
      <c r="B117" s="4" t="s">
        <v>55</v>
      </c>
      <c r="C117" s="4" t="s">
        <v>12</v>
      </c>
      <c r="D117" s="4" t="s">
        <v>44</v>
      </c>
      <c r="E117" s="4" t="s">
        <v>28</v>
      </c>
      <c r="F117" s="5">
        <v>65000</v>
      </c>
      <c r="G117" s="4">
        <v>650</v>
      </c>
      <c r="H117" s="5">
        <v>300000</v>
      </c>
      <c r="I117" s="4" t="s">
        <v>56</v>
      </c>
      <c r="J117" s="4"/>
      <c r="K117" s="4"/>
    </row>
    <row r="118" spans="1:11" x14ac:dyDescent="0.3">
      <c r="A118" s="4" t="s">
        <v>268</v>
      </c>
      <c r="B118" s="4" t="s">
        <v>109</v>
      </c>
      <c r="C118" s="4" t="s">
        <v>12</v>
      </c>
      <c r="D118" s="4" t="s">
        <v>44</v>
      </c>
      <c r="E118" s="4" t="s">
        <v>28</v>
      </c>
      <c r="F118" s="5">
        <v>55000</v>
      </c>
      <c r="G118" s="4">
        <v>760</v>
      </c>
      <c r="H118" s="5">
        <v>200000</v>
      </c>
      <c r="I118" s="4" t="s">
        <v>56</v>
      </c>
      <c r="J118" s="4"/>
      <c r="K118" s="4"/>
    </row>
    <row r="119" spans="1:11" x14ac:dyDescent="0.3">
      <c r="A119" s="4" t="s">
        <v>304</v>
      </c>
      <c r="B119" s="4" t="s">
        <v>11</v>
      </c>
      <c r="C119" s="4" t="s">
        <v>53</v>
      </c>
      <c r="D119" s="4" t="s">
        <v>92</v>
      </c>
      <c r="E119" s="4" t="s">
        <v>14</v>
      </c>
      <c r="F119" s="5">
        <v>65000</v>
      </c>
      <c r="G119" s="4">
        <v>800</v>
      </c>
      <c r="H119" s="5">
        <v>100000</v>
      </c>
      <c r="I119" s="4" t="s">
        <v>56</v>
      </c>
      <c r="J119" s="4"/>
      <c r="K119" s="4"/>
    </row>
    <row r="120" spans="1:11" x14ac:dyDescent="0.3">
      <c r="A120" s="4" t="s">
        <v>194</v>
      </c>
      <c r="B120" s="4" t="s">
        <v>131</v>
      </c>
      <c r="C120" s="4" t="s">
        <v>53</v>
      </c>
      <c r="D120" s="4" t="s">
        <v>92</v>
      </c>
      <c r="E120" s="4" t="s">
        <v>28</v>
      </c>
      <c r="F120" s="5">
        <v>18000</v>
      </c>
      <c r="G120" s="4">
        <v>650</v>
      </c>
      <c r="H120" s="5">
        <v>100000</v>
      </c>
      <c r="I120" s="4" t="s">
        <v>56</v>
      </c>
      <c r="J120" s="4"/>
      <c r="K120" s="4"/>
    </row>
    <row r="121" spans="1:11" x14ac:dyDescent="0.3">
      <c r="A121" s="4" t="s">
        <v>284</v>
      </c>
      <c r="B121" s="4" t="s">
        <v>94</v>
      </c>
      <c r="C121" s="4" t="s">
        <v>12</v>
      </c>
      <c r="D121" s="4" t="s">
        <v>92</v>
      </c>
      <c r="E121" s="4" t="s">
        <v>28</v>
      </c>
      <c r="F121" s="5">
        <v>45000</v>
      </c>
      <c r="G121" s="4">
        <v>800</v>
      </c>
      <c r="H121" s="5">
        <v>75000</v>
      </c>
      <c r="I121" s="4" t="s">
        <v>56</v>
      </c>
      <c r="J121" s="4"/>
      <c r="K121" s="4"/>
    </row>
    <row r="122" spans="1:11" x14ac:dyDescent="0.3">
      <c r="A122" s="4" t="s">
        <v>377</v>
      </c>
      <c r="B122" s="4" t="s">
        <v>55</v>
      </c>
      <c r="C122" s="4" t="s">
        <v>12</v>
      </c>
      <c r="D122" s="4" t="s">
        <v>92</v>
      </c>
      <c r="E122" s="4" t="s">
        <v>28</v>
      </c>
      <c r="F122" s="5">
        <v>22000</v>
      </c>
      <c r="G122" s="4">
        <v>800</v>
      </c>
      <c r="H122" s="5">
        <v>200000</v>
      </c>
      <c r="I122" s="4" t="s">
        <v>56</v>
      </c>
      <c r="J122" s="4"/>
      <c r="K122" s="4"/>
    </row>
    <row r="123" spans="1:11" x14ac:dyDescent="0.3">
      <c r="A123" s="4" t="s">
        <v>216</v>
      </c>
      <c r="B123" s="4" t="s">
        <v>76</v>
      </c>
      <c r="C123" s="4" t="s">
        <v>43</v>
      </c>
      <c r="D123" s="4" t="s">
        <v>70</v>
      </c>
      <c r="E123" s="4" t="s">
        <v>28</v>
      </c>
      <c r="F123" s="5">
        <v>18000</v>
      </c>
      <c r="G123" s="4">
        <v>700</v>
      </c>
      <c r="H123" s="5">
        <v>50000</v>
      </c>
      <c r="I123" s="4" t="s">
        <v>56</v>
      </c>
      <c r="J123" s="4"/>
      <c r="K123" s="4"/>
    </row>
    <row r="124" spans="1:11" x14ac:dyDescent="0.3">
      <c r="A124" s="4" t="s">
        <v>328</v>
      </c>
      <c r="B124" s="4" t="s">
        <v>37</v>
      </c>
      <c r="C124" s="4" t="s">
        <v>53</v>
      </c>
      <c r="D124" s="4" t="s">
        <v>70</v>
      </c>
      <c r="E124" s="4" t="s">
        <v>28</v>
      </c>
      <c r="F124" s="5">
        <v>18000</v>
      </c>
      <c r="G124" s="4">
        <v>700</v>
      </c>
      <c r="H124" s="5">
        <v>250000</v>
      </c>
      <c r="I124" s="4" t="s">
        <v>56</v>
      </c>
      <c r="J124" s="4"/>
      <c r="K124" s="4"/>
    </row>
    <row r="125" spans="1:11" x14ac:dyDescent="0.3">
      <c r="A125" s="4" t="s">
        <v>359</v>
      </c>
      <c r="B125" s="4" t="s">
        <v>153</v>
      </c>
      <c r="C125" s="4" t="s">
        <v>12</v>
      </c>
      <c r="D125" s="4" t="s">
        <v>70</v>
      </c>
      <c r="E125" s="4" t="s">
        <v>28</v>
      </c>
      <c r="F125" s="5">
        <v>65000</v>
      </c>
      <c r="G125" s="4">
        <v>760</v>
      </c>
      <c r="H125" s="5">
        <v>100000</v>
      </c>
      <c r="I125" s="4" t="s">
        <v>56</v>
      </c>
      <c r="J125" s="4"/>
      <c r="K125" s="4"/>
    </row>
    <row r="126" spans="1:11" x14ac:dyDescent="0.3">
      <c r="A126" s="4" t="s">
        <v>252</v>
      </c>
      <c r="B126" s="4" t="s">
        <v>140</v>
      </c>
      <c r="C126" s="4" t="s">
        <v>26</v>
      </c>
      <c r="D126" s="4" t="s">
        <v>13</v>
      </c>
      <c r="E126" s="4" t="s">
        <v>14</v>
      </c>
      <c r="F126" s="5">
        <v>15000</v>
      </c>
      <c r="G126" s="4" t="s">
        <v>45</v>
      </c>
      <c r="H126" s="5">
        <v>150000</v>
      </c>
      <c r="I126" s="4" t="s">
        <v>56</v>
      </c>
      <c r="J126" s="4"/>
      <c r="K126" s="4"/>
    </row>
    <row r="127" spans="1:11" x14ac:dyDescent="0.3">
      <c r="A127" s="4" t="s">
        <v>336</v>
      </c>
      <c r="B127" s="4" t="s">
        <v>58</v>
      </c>
      <c r="C127" s="4" t="s">
        <v>35</v>
      </c>
      <c r="D127" s="4" t="s">
        <v>32</v>
      </c>
      <c r="E127" s="4" t="s">
        <v>14</v>
      </c>
      <c r="F127" s="5">
        <v>45000</v>
      </c>
      <c r="G127" s="4">
        <v>670</v>
      </c>
      <c r="H127" s="5">
        <v>50000</v>
      </c>
      <c r="I127" s="4" t="s">
        <v>56</v>
      </c>
      <c r="J127" s="4"/>
      <c r="K127" s="4"/>
    </row>
    <row r="128" spans="1:11" x14ac:dyDescent="0.3">
      <c r="A128" s="4" t="s">
        <v>166</v>
      </c>
      <c r="B128" s="4" t="s">
        <v>167</v>
      </c>
      <c r="C128" s="4" t="s">
        <v>26</v>
      </c>
      <c r="D128" s="4" t="s">
        <v>32</v>
      </c>
      <c r="E128" s="4" t="s">
        <v>14</v>
      </c>
      <c r="F128" s="5">
        <v>40000</v>
      </c>
      <c r="G128" s="4">
        <v>650</v>
      </c>
      <c r="H128" s="5">
        <v>150000</v>
      </c>
      <c r="I128" s="4" t="s">
        <v>56</v>
      </c>
      <c r="J128" s="4"/>
      <c r="K128" s="4"/>
    </row>
    <row r="129" spans="1:11" x14ac:dyDescent="0.3">
      <c r="A129" s="4" t="s">
        <v>274</v>
      </c>
      <c r="B129" s="4" t="s">
        <v>176</v>
      </c>
      <c r="C129" s="4" t="s">
        <v>12</v>
      </c>
      <c r="D129" s="4" t="s">
        <v>32</v>
      </c>
      <c r="E129" s="4" t="s">
        <v>14</v>
      </c>
      <c r="F129" s="5">
        <v>28000</v>
      </c>
      <c r="G129" s="4">
        <v>780</v>
      </c>
      <c r="H129" s="5">
        <v>50000</v>
      </c>
      <c r="I129" s="4" t="s">
        <v>56</v>
      </c>
      <c r="J129" s="4"/>
      <c r="K129" s="4"/>
    </row>
    <row r="130" spans="1:11" x14ac:dyDescent="0.3">
      <c r="A130" s="4" t="s">
        <v>289</v>
      </c>
      <c r="B130" s="4" t="s">
        <v>167</v>
      </c>
      <c r="C130" s="4" t="s">
        <v>43</v>
      </c>
      <c r="D130" s="4" t="s">
        <v>32</v>
      </c>
      <c r="E130" s="4" t="s">
        <v>28</v>
      </c>
      <c r="F130" s="5">
        <v>65000</v>
      </c>
      <c r="G130" s="4">
        <v>720</v>
      </c>
      <c r="H130" s="5">
        <v>150000</v>
      </c>
      <c r="I130" s="4" t="s">
        <v>56</v>
      </c>
      <c r="J130" s="4"/>
      <c r="K130" s="4"/>
    </row>
    <row r="131" spans="1:11" x14ac:dyDescent="0.3">
      <c r="A131" s="4" t="s">
        <v>204</v>
      </c>
      <c r="B131" s="4" t="s">
        <v>42</v>
      </c>
      <c r="C131" s="4" t="s">
        <v>35</v>
      </c>
      <c r="D131" s="4" t="s">
        <v>32</v>
      </c>
      <c r="E131" s="4" t="s">
        <v>28</v>
      </c>
      <c r="F131" s="5">
        <v>55000</v>
      </c>
      <c r="G131" s="4">
        <v>740</v>
      </c>
      <c r="H131" s="5">
        <v>75000</v>
      </c>
      <c r="I131" s="4" t="s">
        <v>56</v>
      </c>
      <c r="J131" s="4"/>
      <c r="K131" s="4"/>
    </row>
    <row r="132" spans="1:11" x14ac:dyDescent="0.3">
      <c r="A132" s="4" t="s">
        <v>104</v>
      </c>
      <c r="B132" s="4" t="s">
        <v>105</v>
      </c>
      <c r="C132" s="4" t="s">
        <v>53</v>
      </c>
      <c r="D132" s="4" t="s">
        <v>32</v>
      </c>
      <c r="E132" s="4" t="s">
        <v>28</v>
      </c>
      <c r="F132" s="5">
        <v>22000</v>
      </c>
      <c r="G132" s="4">
        <v>650</v>
      </c>
      <c r="H132" s="5">
        <v>50000</v>
      </c>
      <c r="I132" s="4" t="s">
        <v>56</v>
      </c>
      <c r="J132" s="4"/>
      <c r="K132" s="4"/>
    </row>
    <row r="133" spans="1:11" x14ac:dyDescent="0.3">
      <c r="A133" s="4" t="s">
        <v>334</v>
      </c>
      <c r="B133" s="4" t="s">
        <v>121</v>
      </c>
      <c r="C133" s="4" t="s">
        <v>53</v>
      </c>
      <c r="D133" s="4" t="s">
        <v>32</v>
      </c>
      <c r="E133" s="4" t="s">
        <v>28</v>
      </c>
      <c r="F133" s="5">
        <v>40000</v>
      </c>
      <c r="G133" s="4">
        <v>720</v>
      </c>
      <c r="H133" s="5">
        <v>75000</v>
      </c>
      <c r="I133" s="4" t="s">
        <v>56</v>
      </c>
      <c r="J133" s="4"/>
      <c r="K133" s="4"/>
    </row>
    <row r="134" spans="1:11" x14ac:dyDescent="0.3">
      <c r="A134" s="4" t="s">
        <v>270</v>
      </c>
      <c r="B134" s="4" t="s">
        <v>94</v>
      </c>
      <c r="C134" s="4" t="s">
        <v>22</v>
      </c>
      <c r="D134" s="4" t="s">
        <v>32</v>
      </c>
      <c r="E134" s="4" t="s">
        <v>28</v>
      </c>
      <c r="F134" s="5">
        <v>25000</v>
      </c>
      <c r="G134" s="4">
        <v>720</v>
      </c>
      <c r="H134" s="5">
        <v>150000</v>
      </c>
      <c r="I134" s="4" t="s">
        <v>56</v>
      </c>
      <c r="J134" s="4"/>
      <c r="K134" s="4"/>
    </row>
    <row r="135" spans="1:11" x14ac:dyDescent="0.3">
      <c r="A135" s="4" t="s">
        <v>159</v>
      </c>
      <c r="B135" s="4" t="s">
        <v>74</v>
      </c>
      <c r="C135" s="4" t="s">
        <v>43</v>
      </c>
      <c r="D135" s="4" t="s">
        <v>38</v>
      </c>
      <c r="E135" s="4" t="s">
        <v>14</v>
      </c>
      <c r="F135" s="5">
        <v>40000</v>
      </c>
      <c r="G135" s="4">
        <v>740</v>
      </c>
      <c r="H135" s="5">
        <v>75000</v>
      </c>
      <c r="I135" s="4" t="s">
        <v>56</v>
      </c>
      <c r="J135" s="4"/>
      <c r="K135" s="4"/>
    </row>
    <row r="136" spans="1:11" x14ac:dyDescent="0.3">
      <c r="A136" s="4" t="s">
        <v>314</v>
      </c>
      <c r="B136" s="4" t="s">
        <v>188</v>
      </c>
      <c r="C136" s="4" t="s">
        <v>53</v>
      </c>
      <c r="D136" s="4" t="s">
        <v>38</v>
      </c>
      <c r="E136" s="4" t="s">
        <v>14</v>
      </c>
      <c r="F136" s="5">
        <v>45000</v>
      </c>
      <c r="G136" s="4">
        <v>650</v>
      </c>
      <c r="H136" s="5">
        <v>300000</v>
      </c>
      <c r="I136" s="4" t="s">
        <v>56</v>
      </c>
      <c r="J136" s="4"/>
      <c r="K136" s="4"/>
    </row>
    <row r="137" spans="1:11" x14ac:dyDescent="0.3">
      <c r="A137" s="4" t="s">
        <v>386</v>
      </c>
      <c r="B137" s="4" t="s">
        <v>55</v>
      </c>
      <c r="C137" s="4" t="s">
        <v>53</v>
      </c>
      <c r="D137" s="4" t="s">
        <v>38</v>
      </c>
      <c r="E137" s="4" t="s">
        <v>14</v>
      </c>
      <c r="F137" s="5">
        <v>25000</v>
      </c>
      <c r="G137" s="4">
        <v>760</v>
      </c>
      <c r="H137" s="5">
        <v>200000</v>
      </c>
      <c r="I137" s="4" t="s">
        <v>56</v>
      </c>
      <c r="J137" s="4"/>
      <c r="K137" s="4"/>
    </row>
    <row r="138" spans="1:11" x14ac:dyDescent="0.3">
      <c r="A138" s="4" t="s">
        <v>363</v>
      </c>
      <c r="B138" s="4" t="s">
        <v>101</v>
      </c>
      <c r="C138" s="4" t="s">
        <v>22</v>
      </c>
      <c r="D138" s="4" t="s">
        <v>38</v>
      </c>
      <c r="E138" s="4" t="s">
        <v>14</v>
      </c>
      <c r="F138" s="5">
        <v>28000</v>
      </c>
      <c r="G138" s="4">
        <v>740</v>
      </c>
      <c r="H138" s="5">
        <v>50000</v>
      </c>
      <c r="I138" s="4" t="s">
        <v>56</v>
      </c>
      <c r="J138" s="4"/>
      <c r="K138" s="4"/>
    </row>
    <row r="139" spans="1:11" x14ac:dyDescent="0.3">
      <c r="A139" s="4" t="s">
        <v>183</v>
      </c>
      <c r="B139" s="4" t="s">
        <v>62</v>
      </c>
      <c r="C139" s="4" t="s">
        <v>43</v>
      </c>
      <c r="D139" s="4" t="s">
        <v>38</v>
      </c>
      <c r="E139" s="4" t="s">
        <v>28</v>
      </c>
      <c r="F139" s="5">
        <v>35000</v>
      </c>
      <c r="G139" s="4">
        <v>780</v>
      </c>
      <c r="H139" s="5">
        <v>300000</v>
      </c>
      <c r="I139" s="4" t="s">
        <v>56</v>
      </c>
      <c r="J139" s="4"/>
      <c r="K139" s="4"/>
    </row>
    <row r="140" spans="1:11" x14ac:dyDescent="0.3">
      <c r="A140" s="4" t="s">
        <v>214</v>
      </c>
      <c r="B140" s="4" t="s">
        <v>52</v>
      </c>
      <c r="C140" s="4" t="s">
        <v>35</v>
      </c>
      <c r="D140" s="4" t="s">
        <v>38</v>
      </c>
      <c r="E140" s="4" t="s">
        <v>28</v>
      </c>
      <c r="F140" s="5">
        <v>35000</v>
      </c>
      <c r="G140" s="4">
        <v>700</v>
      </c>
      <c r="H140" s="5">
        <v>50000</v>
      </c>
      <c r="I140" s="4" t="s">
        <v>56</v>
      </c>
      <c r="J140" s="4"/>
      <c r="K140" s="4"/>
    </row>
    <row r="141" spans="1:11" x14ac:dyDescent="0.3">
      <c r="A141" s="4" t="s">
        <v>352</v>
      </c>
      <c r="B141" s="4" t="s">
        <v>76</v>
      </c>
      <c r="C141" s="4" t="s">
        <v>35</v>
      </c>
      <c r="D141" s="4" t="s">
        <v>38</v>
      </c>
      <c r="E141" s="4" t="s">
        <v>28</v>
      </c>
      <c r="F141" s="5">
        <v>65000</v>
      </c>
      <c r="G141" s="4">
        <v>760</v>
      </c>
      <c r="H141" s="5">
        <v>300000</v>
      </c>
      <c r="I141" s="4" t="s">
        <v>56</v>
      </c>
      <c r="J141" s="4"/>
      <c r="K141" s="4"/>
    </row>
    <row r="142" spans="1:11" x14ac:dyDescent="0.3">
      <c r="A142" s="4" t="s">
        <v>54</v>
      </c>
      <c r="B142" s="4" t="s">
        <v>55</v>
      </c>
      <c r="C142" s="4" t="s">
        <v>43</v>
      </c>
      <c r="D142" s="4" t="s">
        <v>27</v>
      </c>
      <c r="E142" s="4" t="s">
        <v>14</v>
      </c>
      <c r="F142" s="5">
        <v>40000</v>
      </c>
      <c r="G142" s="4">
        <v>720</v>
      </c>
      <c r="H142" s="5">
        <v>250000</v>
      </c>
      <c r="I142" s="4" t="s">
        <v>56</v>
      </c>
      <c r="J142" s="4"/>
      <c r="K142" s="4"/>
    </row>
    <row r="143" spans="1:11" x14ac:dyDescent="0.3">
      <c r="A143" s="4" t="s">
        <v>280</v>
      </c>
      <c r="B143" s="4" t="s">
        <v>113</v>
      </c>
      <c r="C143" s="4" t="s">
        <v>43</v>
      </c>
      <c r="D143" s="4" t="s">
        <v>27</v>
      </c>
      <c r="E143" s="4" t="s">
        <v>28</v>
      </c>
      <c r="F143" s="5">
        <v>35000</v>
      </c>
      <c r="G143" s="4">
        <v>740</v>
      </c>
      <c r="H143" s="5">
        <v>100000</v>
      </c>
      <c r="I143" s="4" t="s">
        <v>56</v>
      </c>
      <c r="J143" s="4"/>
      <c r="K143" s="4"/>
    </row>
    <row r="144" spans="1:11" x14ac:dyDescent="0.3">
      <c r="A144" s="4" t="s">
        <v>110</v>
      </c>
      <c r="B144" s="4" t="s">
        <v>88</v>
      </c>
      <c r="C144" s="4" t="s">
        <v>35</v>
      </c>
      <c r="D144" s="4" t="s">
        <v>27</v>
      </c>
      <c r="E144" s="4" t="s">
        <v>28</v>
      </c>
      <c r="F144" s="5">
        <v>18000</v>
      </c>
      <c r="G144" s="4">
        <v>780</v>
      </c>
      <c r="H144" s="5">
        <v>200000</v>
      </c>
      <c r="I144" s="4" t="s">
        <v>56</v>
      </c>
      <c r="J144" s="4"/>
      <c r="K144" s="4"/>
    </row>
    <row r="145" spans="1:11" x14ac:dyDescent="0.3">
      <c r="A145" s="4" t="s">
        <v>237</v>
      </c>
      <c r="B145" s="4" t="s">
        <v>34</v>
      </c>
      <c r="C145" s="4" t="s">
        <v>12</v>
      </c>
      <c r="D145" s="4" t="s">
        <v>27</v>
      </c>
      <c r="E145" s="4" t="s">
        <v>28</v>
      </c>
      <c r="F145" s="5">
        <v>55000</v>
      </c>
      <c r="G145" s="4">
        <v>610</v>
      </c>
      <c r="H145" s="5">
        <v>250000</v>
      </c>
      <c r="I145" s="4" t="s">
        <v>56</v>
      </c>
      <c r="J145" s="4"/>
      <c r="K145" s="4"/>
    </row>
    <row r="146" spans="1:11" x14ac:dyDescent="0.3">
      <c r="A146" s="4" t="s">
        <v>223</v>
      </c>
      <c r="B146" s="4" t="s">
        <v>107</v>
      </c>
      <c r="C146" s="4" t="s">
        <v>43</v>
      </c>
      <c r="D146" s="4" t="s">
        <v>65</v>
      </c>
      <c r="E146" s="4" t="s">
        <v>14</v>
      </c>
      <c r="F146" s="5">
        <v>28000</v>
      </c>
      <c r="G146" s="4">
        <v>720</v>
      </c>
      <c r="H146" s="5">
        <v>300000</v>
      </c>
      <c r="I146" s="4" t="s">
        <v>56</v>
      </c>
      <c r="J146" s="4"/>
      <c r="K146" s="4"/>
    </row>
    <row r="147" spans="1:11" x14ac:dyDescent="0.3">
      <c r="A147" s="4" t="s">
        <v>387</v>
      </c>
      <c r="B147" s="4" t="s">
        <v>190</v>
      </c>
      <c r="C147" s="4" t="s">
        <v>53</v>
      </c>
      <c r="D147" s="4" t="s">
        <v>65</v>
      </c>
      <c r="E147" s="4" t="s">
        <v>14</v>
      </c>
      <c r="F147" s="5">
        <v>55000</v>
      </c>
      <c r="G147" s="4">
        <v>780</v>
      </c>
      <c r="H147" s="5">
        <v>50000</v>
      </c>
      <c r="I147" s="4" t="s">
        <v>56</v>
      </c>
      <c r="J147" s="4"/>
      <c r="K147" s="4"/>
    </row>
    <row r="148" spans="1:11" x14ac:dyDescent="0.3">
      <c r="A148" s="4" t="s">
        <v>127</v>
      </c>
      <c r="B148" s="4" t="s">
        <v>88</v>
      </c>
      <c r="C148" s="4" t="s">
        <v>43</v>
      </c>
      <c r="D148" s="4" t="s">
        <v>65</v>
      </c>
      <c r="E148" s="4" t="s">
        <v>28</v>
      </c>
      <c r="F148" s="5">
        <v>22000</v>
      </c>
      <c r="G148" s="4" t="s">
        <v>45</v>
      </c>
      <c r="H148" s="5">
        <v>300000</v>
      </c>
      <c r="I148" s="4" t="s">
        <v>56</v>
      </c>
      <c r="J148" s="4"/>
      <c r="K148" s="4"/>
    </row>
    <row r="149" spans="1:11" x14ac:dyDescent="0.3">
      <c r="A149" s="4" t="s">
        <v>323</v>
      </c>
      <c r="B149" s="4" t="s">
        <v>101</v>
      </c>
      <c r="C149" s="4" t="s">
        <v>22</v>
      </c>
      <c r="D149" s="4" t="s">
        <v>65</v>
      </c>
      <c r="E149" s="4" t="s">
        <v>28</v>
      </c>
      <c r="F149" s="5">
        <v>18000</v>
      </c>
      <c r="G149" s="4">
        <v>670</v>
      </c>
      <c r="H149" s="5">
        <v>50000</v>
      </c>
      <c r="I149" s="4" t="s">
        <v>56</v>
      </c>
      <c r="J149" s="4"/>
      <c r="K149" s="4"/>
    </row>
    <row r="150" spans="1:11" x14ac:dyDescent="0.3">
      <c r="A150" s="4" t="s">
        <v>261</v>
      </c>
      <c r="B150" s="4" t="s">
        <v>140</v>
      </c>
      <c r="C150" s="4" t="s">
        <v>35</v>
      </c>
      <c r="D150" s="4" t="s">
        <v>60</v>
      </c>
      <c r="E150" s="4" t="s">
        <v>14</v>
      </c>
      <c r="F150" s="5">
        <v>22000</v>
      </c>
      <c r="G150" s="4">
        <v>760</v>
      </c>
      <c r="H150" s="5">
        <v>75000</v>
      </c>
      <c r="I150" s="4" t="s">
        <v>56</v>
      </c>
      <c r="J150" s="4"/>
      <c r="K150" s="4"/>
    </row>
    <row r="151" spans="1:11" x14ac:dyDescent="0.3">
      <c r="A151" s="4" t="s">
        <v>241</v>
      </c>
      <c r="B151" s="4" t="s">
        <v>231</v>
      </c>
      <c r="C151" s="4" t="s">
        <v>53</v>
      </c>
      <c r="D151" s="4" t="s">
        <v>60</v>
      </c>
      <c r="E151" s="4" t="s">
        <v>14</v>
      </c>
      <c r="F151" s="5">
        <v>65000</v>
      </c>
      <c r="G151" s="4">
        <v>720</v>
      </c>
      <c r="H151" s="5">
        <v>200000</v>
      </c>
      <c r="I151" s="4" t="s">
        <v>56</v>
      </c>
      <c r="J151" s="4"/>
      <c r="K151" s="4"/>
    </row>
    <row r="152" spans="1:11" x14ac:dyDescent="0.3">
      <c r="A152" s="4" t="s">
        <v>385</v>
      </c>
      <c r="B152" s="4" t="s">
        <v>69</v>
      </c>
      <c r="C152" s="4" t="s">
        <v>22</v>
      </c>
      <c r="D152" s="4" t="s">
        <v>60</v>
      </c>
      <c r="E152" s="4" t="s">
        <v>14</v>
      </c>
      <c r="F152" s="5">
        <v>28000</v>
      </c>
      <c r="G152" s="4">
        <v>580</v>
      </c>
      <c r="H152" s="5">
        <v>150000</v>
      </c>
      <c r="I152" s="4" t="s">
        <v>56</v>
      </c>
      <c r="J152" s="4"/>
      <c r="K152" s="4"/>
    </row>
    <row r="153" spans="1:11" x14ac:dyDescent="0.3">
      <c r="A153" s="4" t="s">
        <v>283</v>
      </c>
      <c r="B153" s="4" t="s">
        <v>42</v>
      </c>
      <c r="C153" s="4" t="s">
        <v>26</v>
      </c>
      <c r="D153" s="4" t="s">
        <v>60</v>
      </c>
      <c r="E153" s="4" t="s">
        <v>14</v>
      </c>
      <c r="F153" s="5">
        <v>45000</v>
      </c>
      <c r="G153" s="4">
        <v>580</v>
      </c>
      <c r="H153" s="5">
        <v>50000</v>
      </c>
      <c r="I153" s="4" t="s">
        <v>56</v>
      </c>
      <c r="J153" s="4"/>
      <c r="K153" s="4"/>
    </row>
    <row r="154" spans="1:11" x14ac:dyDescent="0.3">
      <c r="A154" s="4" t="s">
        <v>332</v>
      </c>
      <c r="B154" s="4" t="s">
        <v>69</v>
      </c>
      <c r="C154" s="4" t="s">
        <v>53</v>
      </c>
      <c r="D154" s="4" t="s">
        <v>60</v>
      </c>
      <c r="E154" s="4" t="s">
        <v>28</v>
      </c>
      <c r="F154" s="5">
        <v>45000</v>
      </c>
      <c r="G154" s="4">
        <v>740</v>
      </c>
      <c r="H154" s="5">
        <v>300000</v>
      </c>
      <c r="I154" s="4" t="s">
        <v>56</v>
      </c>
      <c r="J154" s="4"/>
      <c r="K154" s="4"/>
    </row>
    <row r="155" spans="1:11" x14ac:dyDescent="0.3">
      <c r="A155" s="4" t="s">
        <v>333</v>
      </c>
      <c r="B155" s="4" t="s">
        <v>300</v>
      </c>
      <c r="C155" s="4" t="s">
        <v>22</v>
      </c>
      <c r="D155" s="4" t="s">
        <v>60</v>
      </c>
      <c r="E155" s="4" t="s">
        <v>28</v>
      </c>
      <c r="F155" s="5">
        <v>15000</v>
      </c>
      <c r="G155" s="4">
        <v>800</v>
      </c>
      <c r="H155" s="5">
        <v>50000</v>
      </c>
      <c r="I155" s="4" t="s">
        <v>56</v>
      </c>
      <c r="J155" s="4"/>
      <c r="K155" s="4"/>
    </row>
    <row r="156" spans="1:11" x14ac:dyDescent="0.3">
      <c r="A156" s="4" t="s">
        <v>160</v>
      </c>
      <c r="B156" s="4" t="s">
        <v>161</v>
      </c>
      <c r="C156" s="4" t="s">
        <v>12</v>
      </c>
      <c r="D156" s="4" t="s">
        <v>60</v>
      </c>
      <c r="E156" s="4" t="s">
        <v>28</v>
      </c>
      <c r="F156" s="5">
        <v>65000</v>
      </c>
      <c r="G156" s="4">
        <v>650</v>
      </c>
      <c r="H156" s="5">
        <v>50000</v>
      </c>
      <c r="I156" s="4" t="s">
        <v>56</v>
      </c>
      <c r="J156" s="4"/>
      <c r="K156" s="4"/>
    </row>
    <row r="157" spans="1:11" x14ac:dyDescent="0.3">
      <c r="A157" s="4" t="s">
        <v>205</v>
      </c>
      <c r="B157" s="4" t="s">
        <v>188</v>
      </c>
      <c r="C157" s="4" t="s">
        <v>12</v>
      </c>
      <c r="D157" s="4" t="s">
        <v>60</v>
      </c>
      <c r="E157" s="4" t="s">
        <v>28</v>
      </c>
      <c r="F157" s="5">
        <v>18000</v>
      </c>
      <c r="G157" s="4">
        <v>800</v>
      </c>
      <c r="H157" s="5">
        <v>100000</v>
      </c>
      <c r="I157" s="4" t="s">
        <v>56</v>
      </c>
      <c r="J157" s="4"/>
      <c r="K157" s="4"/>
    </row>
    <row r="158" spans="1:11" x14ac:dyDescent="0.3">
      <c r="A158" s="4" t="s">
        <v>115</v>
      </c>
      <c r="B158" s="4" t="s">
        <v>116</v>
      </c>
      <c r="C158" s="4" t="s">
        <v>35</v>
      </c>
      <c r="D158" s="4" t="s">
        <v>18</v>
      </c>
      <c r="E158" s="4" t="s">
        <v>14</v>
      </c>
      <c r="F158" s="5">
        <v>45000</v>
      </c>
      <c r="G158" s="4">
        <v>670</v>
      </c>
      <c r="H158" s="5">
        <v>100000</v>
      </c>
      <c r="I158" s="4" t="s">
        <v>15</v>
      </c>
      <c r="J158" s="4"/>
      <c r="K158" s="4"/>
    </row>
    <row r="159" spans="1:11" x14ac:dyDescent="0.3">
      <c r="A159" s="4" t="s">
        <v>354</v>
      </c>
      <c r="B159" s="4" t="s">
        <v>86</v>
      </c>
      <c r="C159" s="4" t="s">
        <v>35</v>
      </c>
      <c r="D159" s="4" t="s">
        <v>18</v>
      </c>
      <c r="E159" s="4" t="s">
        <v>14</v>
      </c>
      <c r="F159" s="5">
        <v>28000</v>
      </c>
      <c r="G159" s="4">
        <v>610</v>
      </c>
      <c r="H159" s="5">
        <v>250000</v>
      </c>
      <c r="I159" s="4" t="s">
        <v>15</v>
      </c>
      <c r="J159" s="4"/>
      <c r="K159" s="4"/>
    </row>
    <row r="160" spans="1:11" x14ac:dyDescent="0.3">
      <c r="A160" s="4" t="s">
        <v>106</v>
      </c>
      <c r="B160" s="4" t="s">
        <v>107</v>
      </c>
      <c r="C160" s="4" t="s">
        <v>12</v>
      </c>
      <c r="D160" s="4" t="s">
        <v>18</v>
      </c>
      <c r="E160" s="4" t="s">
        <v>14</v>
      </c>
      <c r="F160" s="5">
        <v>32000</v>
      </c>
      <c r="G160" s="4" t="s">
        <v>45</v>
      </c>
      <c r="H160" s="5">
        <v>150000</v>
      </c>
      <c r="I160" s="4" t="s">
        <v>15</v>
      </c>
      <c r="J160" s="4"/>
      <c r="K160" s="4"/>
    </row>
    <row r="161" spans="1:11" x14ac:dyDescent="0.3">
      <c r="A161" s="4" t="s">
        <v>355</v>
      </c>
      <c r="B161" s="4" t="s">
        <v>136</v>
      </c>
      <c r="C161" s="4" t="s">
        <v>53</v>
      </c>
      <c r="D161" s="4" t="s">
        <v>18</v>
      </c>
      <c r="E161" s="4" t="s">
        <v>28</v>
      </c>
      <c r="F161" s="5">
        <v>18000</v>
      </c>
      <c r="G161" s="4">
        <v>670</v>
      </c>
      <c r="H161" s="5">
        <v>200000</v>
      </c>
      <c r="I161" s="4" t="s">
        <v>15</v>
      </c>
      <c r="J161" s="4"/>
      <c r="K161" s="4"/>
    </row>
    <row r="162" spans="1:11" x14ac:dyDescent="0.3">
      <c r="A162" s="4" t="s">
        <v>228</v>
      </c>
      <c r="B162" s="4" t="s">
        <v>123</v>
      </c>
      <c r="C162" s="4" t="s">
        <v>22</v>
      </c>
      <c r="D162" s="4" t="s">
        <v>18</v>
      </c>
      <c r="E162" s="4" t="s">
        <v>28</v>
      </c>
      <c r="F162" s="5">
        <v>18000</v>
      </c>
      <c r="G162" s="4">
        <v>740</v>
      </c>
      <c r="H162" s="5">
        <v>150000</v>
      </c>
      <c r="I162" s="4" t="s">
        <v>15</v>
      </c>
      <c r="J162" s="4"/>
      <c r="K162" s="4"/>
    </row>
    <row r="163" spans="1:11" x14ac:dyDescent="0.3">
      <c r="A163" s="4" t="s">
        <v>351</v>
      </c>
      <c r="B163" s="4" t="s">
        <v>69</v>
      </c>
      <c r="C163" s="4" t="s">
        <v>26</v>
      </c>
      <c r="D163" s="4" t="s">
        <v>18</v>
      </c>
      <c r="E163" s="4" t="s">
        <v>28</v>
      </c>
      <c r="F163" s="5">
        <v>35000</v>
      </c>
      <c r="G163" s="4">
        <v>780</v>
      </c>
      <c r="H163" s="5">
        <v>100000</v>
      </c>
      <c r="I163" s="4" t="s">
        <v>15</v>
      </c>
      <c r="J163" s="4"/>
      <c r="K163" s="4"/>
    </row>
    <row r="164" spans="1:11" x14ac:dyDescent="0.3">
      <c r="A164" s="4" t="s">
        <v>276</v>
      </c>
      <c r="B164" s="4" t="s">
        <v>125</v>
      </c>
      <c r="C164" s="4" t="s">
        <v>43</v>
      </c>
      <c r="D164" s="4" t="s">
        <v>44</v>
      </c>
      <c r="E164" s="4" t="s">
        <v>14</v>
      </c>
      <c r="F164" s="5">
        <v>28000</v>
      </c>
      <c r="G164" s="4">
        <v>780</v>
      </c>
      <c r="H164" s="5">
        <v>150000</v>
      </c>
      <c r="I164" s="4" t="s">
        <v>15</v>
      </c>
      <c r="J164" s="4"/>
      <c r="K164" s="4"/>
    </row>
    <row r="165" spans="1:11" x14ac:dyDescent="0.3">
      <c r="A165" s="4" t="s">
        <v>193</v>
      </c>
      <c r="B165" s="4" t="s">
        <v>153</v>
      </c>
      <c r="C165" s="4" t="s">
        <v>22</v>
      </c>
      <c r="D165" s="4" t="s">
        <v>44</v>
      </c>
      <c r="E165" s="4" t="s">
        <v>14</v>
      </c>
      <c r="F165" s="5">
        <v>45000</v>
      </c>
      <c r="G165" s="4">
        <v>610</v>
      </c>
      <c r="H165" s="5">
        <v>250000</v>
      </c>
      <c r="I165" s="4" t="s">
        <v>15</v>
      </c>
      <c r="J165" s="4"/>
      <c r="K165" s="4"/>
    </row>
    <row r="166" spans="1:11" x14ac:dyDescent="0.3">
      <c r="A166" s="4" t="s">
        <v>96</v>
      </c>
      <c r="B166" s="4" t="s">
        <v>97</v>
      </c>
      <c r="C166" s="4" t="s">
        <v>12</v>
      </c>
      <c r="D166" s="4" t="s">
        <v>44</v>
      </c>
      <c r="E166" s="4" t="s">
        <v>14</v>
      </c>
      <c r="F166" s="5">
        <v>25000</v>
      </c>
      <c r="G166" s="4">
        <v>650</v>
      </c>
      <c r="H166" s="5">
        <v>150000</v>
      </c>
      <c r="I166" s="4" t="s">
        <v>15</v>
      </c>
      <c r="J166" s="4"/>
      <c r="K166" s="4"/>
    </row>
    <row r="167" spans="1:11" x14ac:dyDescent="0.3">
      <c r="A167" s="4" t="s">
        <v>112</v>
      </c>
      <c r="B167" s="4" t="s">
        <v>113</v>
      </c>
      <c r="C167" s="4" t="s">
        <v>12</v>
      </c>
      <c r="D167" s="4" t="s">
        <v>44</v>
      </c>
      <c r="E167" s="4" t="s">
        <v>14</v>
      </c>
      <c r="F167" s="5">
        <v>28000</v>
      </c>
      <c r="G167" s="4">
        <v>720</v>
      </c>
      <c r="H167" s="5">
        <v>250000</v>
      </c>
      <c r="I167" s="4" t="s">
        <v>15</v>
      </c>
      <c r="J167" s="4"/>
      <c r="K167" s="4"/>
    </row>
    <row r="168" spans="1:11" x14ac:dyDescent="0.3">
      <c r="A168" s="4" t="s">
        <v>281</v>
      </c>
      <c r="B168" s="4" t="s">
        <v>101</v>
      </c>
      <c r="C168" s="4" t="s">
        <v>12</v>
      </c>
      <c r="D168" s="4" t="s">
        <v>44</v>
      </c>
      <c r="E168" s="4" t="s">
        <v>14</v>
      </c>
      <c r="F168" s="5">
        <v>15000</v>
      </c>
      <c r="G168" s="4">
        <v>610</v>
      </c>
      <c r="H168" s="5">
        <v>200000</v>
      </c>
      <c r="I168" s="4" t="s">
        <v>15</v>
      </c>
      <c r="J168" s="4"/>
      <c r="K168" s="4"/>
    </row>
    <row r="169" spans="1:11" x14ac:dyDescent="0.3">
      <c r="A169" s="4" t="s">
        <v>381</v>
      </c>
      <c r="B169" s="4" t="s">
        <v>136</v>
      </c>
      <c r="C169" s="4" t="s">
        <v>43</v>
      </c>
      <c r="D169" s="4" t="s">
        <v>44</v>
      </c>
      <c r="E169" s="4" t="s">
        <v>28</v>
      </c>
      <c r="F169" s="5">
        <v>55000</v>
      </c>
      <c r="G169" s="4">
        <v>740</v>
      </c>
      <c r="H169" s="5">
        <v>75000</v>
      </c>
      <c r="I169" s="4" t="s">
        <v>15</v>
      </c>
      <c r="J169" s="4"/>
      <c r="K169" s="4"/>
    </row>
    <row r="170" spans="1:11" x14ac:dyDescent="0.3">
      <c r="A170" s="4" t="s">
        <v>179</v>
      </c>
      <c r="B170" s="4" t="s">
        <v>31</v>
      </c>
      <c r="C170" s="4" t="s">
        <v>35</v>
      </c>
      <c r="D170" s="4" t="s">
        <v>44</v>
      </c>
      <c r="E170" s="4" t="s">
        <v>28</v>
      </c>
      <c r="F170" s="5">
        <v>65000</v>
      </c>
      <c r="G170" s="4">
        <v>700</v>
      </c>
      <c r="H170" s="5">
        <v>250000</v>
      </c>
      <c r="I170" s="4" t="s">
        <v>15</v>
      </c>
      <c r="J170" s="4"/>
      <c r="K170" s="4"/>
    </row>
    <row r="171" spans="1:11" x14ac:dyDescent="0.3">
      <c r="A171" s="4" t="s">
        <v>296</v>
      </c>
      <c r="B171" s="4" t="s">
        <v>153</v>
      </c>
      <c r="C171" s="4" t="s">
        <v>43</v>
      </c>
      <c r="D171" s="4" t="s">
        <v>92</v>
      </c>
      <c r="E171" s="4" t="s">
        <v>28</v>
      </c>
      <c r="F171" s="5">
        <v>65000</v>
      </c>
      <c r="G171" s="4">
        <v>700</v>
      </c>
      <c r="H171" s="5">
        <v>50000</v>
      </c>
      <c r="I171" s="4" t="s">
        <v>15</v>
      </c>
      <c r="J171" s="4"/>
      <c r="K171" s="4"/>
    </row>
    <row r="172" spans="1:11" x14ac:dyDescent="0.3">
      <c r="A172" s="4" t="s">
        <v>210</v>
      </c>
      <c r="B172" s="4" t="s">
        <v>74</v>
      </c>
      <c r="C172" s="4" t="s">
        <v>53</v>
      </c>
      <c r="D172" s="4" t="s">
        <v>92</v>
      </c>
      <c r="E172" s="4" t="s">
        <v>28</v>
      </c>
      <c r="F172" s="5">
        <v>15000</v>
      </c>
      <c r="G172" s="4">
        <v>580</v>
      </c>
      <c r="H172" s="5">
        <v>250000</v>
      </c>
      <c r="I172" s="4" t="s">
        <v>15</v>
      </c>
      <c r="J172" s="4"/>
      <c r="K172" s="4"/>
    </row>
    <row r="173" spans="1:11" x14ac:dyDescent="0.3">
      <c r="A173" s="4" t="s">
        <v>200</v>
      </c>
      <c r="B173" s="4" t="s">
        <v>129</v>
      </c>
      <c r="C173" s="4" t="s">
        <v>22</v>
      </c>
      <c r="D173" s="4" t="s">
        <v>92</v>
      </c>
      <c r="E173" s="4" t="s">
        <v>28</v>
      </c>
      <c r="F173" s="5">
        <v>18000</v>
      </c>
      <c r="G173" s="4">
        <v>650</v>
      </c>
      <c r="H173" s="5">
        <v>300000</v>
      </c>
      <c r="I173" s="4" t="s">
        <v>15</v>
      </c>
      <c r="J173" s="4"/>
      <c r="K173" s="4"/>
    </row>
    <row r="174" spans="1:11" x14ac:dyDescent="0.3">
      <c r="A174" s="4" t="s">
        <v>263</v>
      </c>
      <c r="B174" s="4" t="s">
        <v>142</v>
      </c>
      <c r="C174" s="4" t="s">
        <v>53</v>
      </c>
      <c r="D174" s="4" t="s">
        <v>70</v>
      </c>
      <c r="E174" s="4" t="s">
        <v>14</v>
      </c>
      <c r="F174" s="5">
        <v>28000</v>
      </c>
      <c r="G174" s="4" t="s">
        <v>45</v>
      </c>
      <c r="H174" s="5">
        <v>150000</v>
      </c>
      <c r="I174" s="4" t="s">
        <v>15</v>
      </c>
      <c r="J174" s="4"/>
      <c r="K174" s="4"/>
    </row>
    <row r="175" spans="1:11" x14ac:dyDescent="0.3">
      <c r="A175" s="4" t="s">
        <v>77</v>
      </c>
      <c r="B175" s="4" t="s">
        <v>74</v>
      </c>
      <c r="C175" s="4" t="s">
        <v>43</v>
      </c>
      <c r="D175" s="4" t="s">
        <v>70</v>
      </c>
      <c r="E175" s="4" t="s">
        <v>28</v>
      </c>
      <c r="F175" s="5">
        <v>40000</v>
      </c>
      <c r="G175" s="4" t="s">
        <v>45</v>
      </c>
      <c r="H175" s="5">
        <v>100000</v>
      </c>
      <c r="I175" s="4" t="s">
        <v>15</v>
      </c>
      <c r="J175" s="4"/>
      <c r="K175" s="4"/>
    </row>
    <row r="176" spans="1:11" x14ac:dyDescent="0.3">
      <c r="A176" s="4" t="s">
        <v>170</v>
      </c>
      <c r="B176" s="4" t="s">
        <v>31</v>
      </c>
      <c r="C176" s="4" t="s">
        <v>22</v>
      </c>
      <c r="D176" s="4" t="s">
        <v>70</v>
      </c>
      <c r="E176" s="4" t="s">
        <v>28</v>
      </c>
      <c r="F176" s="5">
        <v>35000</v>
      </c>
      <c r="G176" s="4">
        <v>700</v>
      </c>
      <c r="H176" s="5">
        <v>100000</v>
      </c>
      <c r="I176" s="4" t="s">
        <v>15</v>
      </c>
      <c r="J176" s="4"/>
      <c r="K176" s="4"/>
    </row>
    <row r="177" spans="1:11" x14ac:dyDescent="0.3">
      <c r="A177" s="4" t="s">
        <v>10</v>
      </c>
      <c r="B177" s="4" t="s">
        <v>11</v>
      </c>
      <c r="C177" s="4" t="s">
        <v>12</v>
      </c>
      <c r="D177" s="4" t="s">
        <v>13</v>
      </c>
      <c r="E177" s="4" t="s">
        <v>14</v>
      </c>
      <c r="F177" s="5">
        <v>28000</v>
      </c>
      <c r="G177" s="4">
        <v>650</v>
      </c>
      <c r="H177" s="5">
        <v>250000</v>
      </c>
      <c r="I177" s="4" t="s">
        <v>15</v>
      </c>
      <c r="J177" s="4"/>
      <c r="K177" s="4"/>
    </row>
    <row r="178" spans="1:11" x14ac:dyDescent="0.3">
      <c r="A178" s="4" t="s">
        <v>254</v>
      </c>
      <c r="B178" s="4" t="s">
        <v>144</v>
      </c>
      <c r="C178" s="4" t="s">
        <v>43</v>
      </c>
      <c r="D178" s="4" t="s">
        <v>32</v>
      </c>
      <c r="E178" s="4" t="s">
        <v>14</v>
      </c>
      <c r="F178" s="5">
        <v>35000</v>
      </c>
      <c r="G178" s="4">
        <v>800</v>
      </c>
      <c r="H178" s="5">
        <v>150000</v>
      </c>
      <c r="I178" s="4" t="s">
        <v>15</v>
      </c>
      <c r="J178" s="4"/>
      <c r="K178" s="4"/>
    </row>
    <row r="179" spans="1:11" x14ac:dyDescent="0.3">
      <c r="A179" s="4" t="s">
        <v>133</v>
      </c>
      <c r="B179" s="4" t="s">
        <v>134</v>
      </c>
      <c r="C179" s="4" t="s">
        <v>35</v>
      </c>
      <c r="D179" s="4" t="s">
        <v>32</v>
      </c>
      <c r="E179" s="4" t="s">
        <v>14</v>
      </c>
      <c r="F179" s="5">
        <v>40000</v>
      </c>
      <c r="G179" s="4">
        <v>650</v>
      </c>
      <c r="H179" s="5">
        <v>150000</v>
      </c>
      <c r="I179" s="4" t="s">
        <v>15</v>
      </c>
      <c r="J179" s="4"/>
      <c r="K179" s="4"/>
    </row>
    <row r="180" spans="1:11" x14ac:dyDescent="0.3">
      <c r="A180" s="4" t="s">
        <v>266</v>
      </c>
      <c r="B180" s="4" t="s">
        <v>58</v>
      </c>
      <c r="C180" s="4" t="s">
        <v>26</v>
      </c>
      <c r="D180" s="4" t="s">
        <v>32</v>
      </c>
      <c r="E180" s="4" t="s">
        <v>14</v>
      </c>
      <c r="F180" s="5">
        <v>40000</v>
      </c>
      <c r="G180" s="4">
        <v>740</v>
      </c>
      <c r="H180" s="5">
        <v>50000</v>
      </c>
      <c r="I180" s="4" t="s">
        <v>15</v>
      </c>
      <c r="J180" s="4"/>
      <c r="K180" s="4"/>
    </row>
    <row r="181" spans="1:11" x14ac:dyDescent="0.3">
      <c r="A181" s="4" t="s">
        <v>30</v>
      </c>
      <c r="B181" s="4" t="s">
        <v>31</v>
      </c>
      <c r="C181" s="4" t="s">
        <v>22</v>
      </c>
      <c r="D181" s="4" t="s">
        <v>32</v>
      </c>
      <c r="E181" s="4" t="s">
        <v>28</v>
      </c>
      <c r="F181" s="5">
        <v>28000</v>
      </c>
      <c r="G181" s="4">
        <v>610</v>
      </c>
      <c r="H181" s="5">
        <v>300000</v>
      </c>
      <c r="I181" s="4" t="s">
        <v>15</v>
      </c>
      <c r="J181" s="4"/>
      <c r="K181" s="4"/>
    </row>
    <row r="182" spans="1:11" x14ac:dyDescent="0.3">
      <c r="A182" s="4" t="s">
        <v>396</v>
      </c>
      <c r="B182" s="4" t="s">
        <v>11</v>
      </c>
      <c r="C182" s="4" t="s">
        <v>12</v>
      </c>
      <c r="D182" s="4" t="s">
        <v>32</v>
      </c>
      <c r="E182" s="4" t="s">
        <v>28</v>
      </c>
      <c r="F182" s="5">
        <v>45000</v>
      </c>
      <c r="G182" s="4">
        <v>700</v>
      </c>
      <c r="H182" s="5">
        <v>250000</v>
      </c>
      <c r="I182" s="4" t="s">
        <v>15</v>
      </c>
      <c r="J182" s="4"/>
      <c r="K182" s="4"/>
    </row>
    <row r="183" spans="1:11" x14ac:dyDescent="0.3">
      <c r="A183" s="4" t="s">
        <v>222</v>
      </c>
      <c r="B183" s="4" t="s">
        <v>109</v>
      </c>
      <c r="C183" s="4" t="s">
        <v>26</v>
      </c>
      <c r="D183" s="4" t="s">
        <v>38</v>
      </c>
      <c r="E183" s="4" t="s">
        <v>14</v>
      </c>
      <c r="F183" s="5">
        <v>40000</v>
      </c>
      <c r="G183" s="4">
        <v>760</v>
      </c>
      <c r="H183" s="5">
        <v>75000</v>
      </c>
      <c r="I183" s="4" t="s">
        <v>15</v>
      </c>
      <c r="J183" s="4"/>
      <c r="K183" s="4"/>
    </row>
    <row r="184" spans="1:11" x14ac:dyDescent="0.3">
      <c r="A184" s="4" t="s">
        <v>61</v>
      </c>
      <c r="B184" s="4" t="s">
        <v>62</v>
      </c>
      <c r="C184" s="4" t="s">
        <v>12</v>
      </c>
      <c r="D184" s="4" t="s">
        <v>38</v>
      </c>
      <c r="E184" s="4" t="s">
        <v>28</v>
      </c>
      <c r="F184" s="5">
        <v>65000</v>
      </c>
      <c r="G184" s="4">
        <v>740</v>
      </c>
      <c r="H184" s="5">
        <v>75000</v>
      </c>
      <c r="I184" s="4" t="s">
        <v>15</v>
      </c>
      <c r="J184" s="4"/>
      <c r="K184" s="4"/>
    </row>
    <row r="185" spans="1:11" x14ac:dyDescent="0.3">
      <c r="A185" s="4" t="s">
        <v>87</v>
      </c>
      <c r="B185" s="4" t="s">
        <v>88</v>
      </c>
      <c r="C185" s="4" t="s">
        <v>43</v>
      </c>
      <c r="D185" s="4" t="s">
        <v>27</v>
      </c>
      <c r="E185" s="4" t="s">
        <v>14</v>
      </c>
      <c r="F185" s="5">
        <v>18000</v>
      </c>
      <c r="G185" s="4">
        <v>800</v>
      </c>
      <c r="H185" s="5">
        <v>50000</v>
      </c>
      <c r="I185" s="4" t="s">
        <v>15</v>
      </c>
      <c r="J185" s="4"/>
      <c r="K185" s="4"/>
    </row>
    <row r="186" spans="1:11" x14ac:dyDescent="0.3">
      <c r="A186" s="4" t="s">
        <v>275</v>
      </c>
      <c r="B186" s="4" t="s">
        <v>134</v>
      </c>
      <c r="C186" s="4" t="s">
        <v>43</v>
      </c>
      <c r="D186" s="4" t="s">
        <v>27</v>
      </c>
      <c r="E186" s="4" t="s">
        <v>14</v>
      </c>
      <c r="F186" s="5">
        <v>65000</v>
      </c>
      <c r="G186" s="4">
        <v>740</v>
      </c>
      <c r="H186" s="5">
        <v>50000</v>
      </c>
      <c r="I186" s="4" t="s">
        <v>15</v>
      </c>
      <c r="J186" s="4"/>
      <c r="K186" s="4"/>
    </row>
    <row r="187" spans="1:11" x14ac:dyDescent="0.3">
      <c r="A187" s="4" t="s">
        <v>173</v>
      </c>
      <c r="B187" s="4" t="s">
        <v>153</v>
      </c>
      <c r="C187" s="4" t="s">
        <v>35</v>
      </c>
      <c r="D187" s="4" t="s">
        <v>27</v>
      </c>
      <c r="E187" s="4" t="s">
        <v>14</v>
      </c>
      <c r="F187" s="5">
        <v>15000</v>
      </c>
      <c r="G187" s="4">
        <v>780</v>
      </c>
      <c r="H187" s="5">
        <v>75000</v>
      </c>
      <c r="I187" s="4" t="s">
        <v>15</v>
      </c>
      <c r="J187" s="4"/>
      <c r="K187" s="4"/>
    </row>
    <row r="188" spans="1:11" x14ac:dyDescent="0.3">
      <c r="A188" s="4" t="s">
        <v>135</v>
      </c>
      <c r="B188" s="4" t="s">
        <v>136</v>
      </c>
      <c r="C188" s="4" t="s">
        <v>53</v>
      </c>
      <c r="D188" s="4" t="s">
        <v>27</v>
      </c>
      <c r="E188" s="4" t="s">
        <v>14</v>
      </c>
      <c r="F188" s="5">
        <v>15000</v>
      </c>
      <c r="G188" s="4">
        <v>800</v>
      </c>
      <c r="H188" s="5">
        <v>100000</v>
      </c>
      <c r="I188" s="4" t="s">
        <v>15</v>
      </c>
      <c r="J188" s="4"/>
      <c r="K188" s="4"/>
    </row>
    <row r="189" spans="1:11" x14ac:dyDescent="0.3">
      <c r="A189" s="4" t="s">
        <v>259</v>
      </c>
      <c r="B189" s="4" t="s">
        <v>125</v>
      </c>
      <c r="C189" s="4" t="s">
        <v>53</v>
      </c>
      <c r="D189" s="4" t="s">
        <v>27</v>
      </c>
      <c r="E189" s="4" t="s">
        <v>14</v>
      </c>
      <c r="F189" s="5">
        <v>55000</v>
      </c>
      <c r="G189" s="4">
        <v>650</v>
      </c>
      <c r="H189" s="5">
        <v>300000</v>
      </c>
      <c r="I189" s="4" t="s">
        <v>15</v>
      </c>
      <c r="J189" s="4"/>
      <c r="K189" s="4"/>
    </row>
    <row r="190" spans="1:11" x14ac:dyDescent="0.3">
      <c r="A190" s="4" t="s">
        <v>51</v>
      </c>
      <c r="B190" s="4" t="s">
        <v>52</v>
      </c>
      <c r="C190" s="4" t="s">
        <v>53</v>
      </c>
      <c r="D190" s="4" t="s">
        <v>27</v>
      </c>
      <c r="E190" s="4" t="s">
        <v>28</v>
      </c>
      <c r="F190" s="5">
        <v>65000</v>
      </c>
      <c r="G190" s="4">
        <v>800</v>
      </c>
      <c r="H190" s="5">
        <v>250000</v>
      </c>
      <c r="I190" s="4" t="s">
        <v>15</v>
      </c>
      <c r="J190" s="4"/>
      <c r="K190" s="4"/>
    </row>
    <row r="191" spans="1:11" x14ac:dyDescent="0.3">
      <c r="A191" s="4" t="s">
        <v>163</v>
      </c>
      <c r="B191" s="4" t="s">
        <v>31</v>
      </c>
      <c r="C191" s="4" t="s">
        <v>22</v>
      </c>
      <c r="D191" s="4" t="s">
        <v>27</v>
      </c>
      <c r="E191" s="4" t="s">
        <v>28</v>
      </c>
      <c r="F191" s="5">
        <v>22000</v>
      </c>
      <c r="G191" s="4">
        <v>650</v>
      </c>
      <c r="H191" s="5">
        <v>150000</v>
      </c>
      <c r="I191" s="4" t="s">
        <v>15</v>
      </c>
      <c r="J191" s="4"/>
      <c r="K191" s="4"/>
    </row>
    <row r="192" spans="1:11" x14ac:dyDescent="0.3">
      <c r="A192" s="4" t="s">
        <v>155</v>
      </c>
      <c r="B192" s="4" t="s">
        <v>55</v>
      </c>
      <c r="C192" s="4" t="s">
        <v>22</v>
      </c>
      <c r="D192" s="4" t="s">
        <v>65</v>
      </c>
      <c r="E192" s="4" t="s">
        <v>14</v>
      </c>
      <c r="F192" s="5">
        <v>18000</v>
      </c>
      <c r="G192" s="4">
        <v>720</v>
      </c>
      <c r="H192" s="5">
        <v>300000</v>
      </c>
      <c r="I192" s="4" t="s">
        <v>15</v>
      </c>
      <c r="J192" s="4"/>
      <c r="K192" s="4"/>
    </row>
    <row r="193" spans="1:11" x14ac:dyDescent="0.3">
      <c r="A193" s="4" t="s">
        <v>219</v>
      </c>
      <c r="B193" s="4" t="s">
        <v>109</v>
      </c>
      <c r="C193" s="4" t="s">
        <v>43</v>
      </c>
      <c r="D193" s="4" t="s">
        <v>65</v>
      </c>
      <c r="E193" s="4" t="s">
        <v>28</v>
      </c>
      <c r="F193" s="5">
        <v>40000</v>
      </c>
      <c r="G193" s="4">
        <v>740</v>
      </c>
      <c r="H193" s="5">
        <v>250000</v>
      </c>
      <c r="I193" s="4" t="s">
        <v>15</v>
      </c>
      <c r="J193" s="4"/>
      <c r="K193" s="4"/>
    </row>
    <row r="194" spans="1:11" x14ac:dyDescent="0.3">
      <c r="A194" s="4" t="s">
        <v>100</v>
      </c>
      <c r="B194" s="4" t="s">
        <v>101</v>
      </c>
      <c r="C194" s="4" t="s">
        <v>22</v>
      </c>
      <c r="D194" s="4" t="s">
        <v>65</v>
      </c>
      <c r="E194" s="4" t="s">
        <v>28</v>
      </c>
      <c r="F194" s="5">
        <v>40000</v>
      </c>
      <c r="G194" s="4">
        <v>740</v>
      </c>
      <c r="H194" s="5">
        <v>150000</v>
      </c>
      <c r="I194" s="4" t="s">
        <v>15</v>
      </c>
      <c r="J194" s="4"/>
      <c r="K194" s="4"/>
    </row>
    <row r="195" spans="1:11" x14ac:dyDescent="0.3">
      <c r="A195" s="4" t="s">
        <v>229</v>
      </c>
      <c r="B195" s="4" t="s">
        <v>34</v>
      </c>
      <c r="C195" s="4" t="s">
        <v>12</v>
      </c>
      <c r="D195" s="4" t="s">
        <v>65</v>
      </c>
      <c r="E195" s="4" t="s">
        <v>28</v>
      </c>
      <c r="F195" s="5">
        <v>65000</v>
      </c>
      <c r="G195" s="4">
        <v>610</v>
      </c>
      <c r="H195" s="5">
        <v>300000</v>
      </c>
      <c r="I195" s="4" t="s">
        <v>15</v>
      </c>
      <c r="J195" s="4"/>
      <c r="K195" s="4"/>
    </row>
    <row r="196" spans="1:11" x14ac:dyDescent="0.3">
      <c r="A196" s="4" t="s">
        <v>330</v>
      </c>
      <c r="B196" s="4" t="s">
        <v>116</v>
      </c>
      <c r="C196" s="4" t="s">
        <v>12</v>
      </c>
      <c r="D196" s="4" t="s">
        <v>65</v>
      </c>
      <c r="E196" s="4" t="s">
        <v>28</v>
      </c>
      <c r="F196" s="5">
        <v>40000</v>
      </c>
      <c r="G196" s="4">
        <v>800</v>
      </c>
      <c r="H196" s="5">
        <v>75000</v>
      </c>
      <c r="I196" s="4" t="s">
        <v>15</v>
      </c>
      <c r="J196" s="4"/>
      <c r="K196" s="4"/>
    </row>
    <row r="197" spans="1:11" x14ac:dyDescent="0.3">
      <c r="A197" s="4" t="s">
        <v>348</v>
      </c>
      <c r="B197" s="4" t="s">
        <v>188</v>
      </c>
      <c r="C197" s="4" t="s">
        <v>12</v>
      </c>
      <c r="D197" s="4" t="s">
        <v>65</v>
      </c>
      <c r="E197" s="4" t="s">
        <v>28</v>
      </c>
      <c r="F197" s="5">
        <v>45000</v>
      </c>
      <c r="G197" s="4">
        <v>650</v>
      </c>
      <c r="H197" s="5">
        <v>75000</v>
      </c>
      <c r="I197" s="4" t="s">
        <v>15</v>
      </c>
      <c r="J197" s="4"/>
      <c r="K197" s="4"/>
    </row>
    <row r="198" spans="1:11" x14ac:dyDescent="0.3">
      <c r="A198" s="4" t="s">
        <v>186</v>
      </c>
      <c r="B198" s="4" t="s">
        <v>129</v>
      </c>
      <c r="C198" s="4" t="s">
        <v>43</v>
      </c>
      <c r="D198" s="4" t="s">
        <v>60</v>
      </c>
      <c r="E198" s="4" t="s">
        <v>14</v>
      </c>
      <c r="F198" s="5">
        <v>45000</v>
      </c>
      <c r="G198" s="4">
        <v>650</v>
      </c>
      <c r="H198" s="5">
        <v>250000</v>
      </c>
      <c r="I198" s="4" t="s">
        <v>15</v>
      </c>
      <c r="J198" s="4"/>
      <c r="K198" s="4"/>
    </row>
    <row r="199" spans="1:11" x14ac:dyDescent="0.3">
      <c r="A199" s="4" t="s">
        <v>119</v>
      </c>
      <c r="B199" s="4" t="s">
        <v>109</v>
      </c>
      <c r="C199" s="4" t="s">
        <v>22</v>
      </c>
      <c r="D199" s="4" t="s">
        <v>60</v>
      </c>
      <c r="E199" s="4" t="s">
        <v>14</v>
      </c>
      <c r="F199" s="5">
        <v>18000</v>
      </c>
      <c r="G199" s="4">
        <v>760</v>
      </c>
      <c r="H199" s="5">
        <v>100000</v>
      </c>
      <c r="I199" s="4" t="s">
        <v>15</v>
      </c>
      <c r="J199" s="4"/>
      <c r="K199" s="4"/>
    </row>
    <row r="200" spans="1:11" x14ac:dyDescent="0.3">
      <c r="A200" s="4" t="s">
        <v>203</v>
      </c>
      <c r="B200" s="4" t="s">
        <v>52</v>
      </c>
      <c r="C200" s="4" t="s">
        <v>22</v>
      </c>
      <c r="D200" s="4" t="s">
        <v>60</v>
      </c>
      <c r="E200" s="4" t="s">
        <v>14</v>
      </c>
      <c r="F200" s="5">
        <v>22000</v>
      </c>
      <c r="G200" s="4">
        <v>650</v>
      </c>
      <c r="H200" s="5">
        <v>50000</v>
      </c>
      <c r="I200" s="4" t="s">
        <v>15</v>
      </c>
      <c r="J200" s="4"/>
      <c r="K200" s="4"/>
    </row>
    <row r="201" spans="1:11" x14ac:dyDescent="0.3">
      <c r="A201" s="4" t="s">
        <v>294</v>
      </c>
      <c r="B201" s="4" t="s">
        <v>69</v>
      </c>
      <c r="C201" s="4" t="s">
        <v>22</v>
      </c>
      <c r="D201" s="4" t="s">
        <v>60</v>
      </c>
      <c r="E201" s="4" t="s">
        <v>14</v>
      </c>
      <c r="F201" s="5">
        <v>22000</v>
      </c>
      <c r="G201" s="4">
        <v>780</v>
      </c>
      <c r="H201" s="5">
        <v>300000</v>
      </c>
      <c r="I201" s="4" t="s">
        <v>15</v>
      </c>
      <c r="J201" s="4"/>
      <c r="K201" s="4"/>
    </row>
    <row r="202" spans="1:11" x14ac:dyDescent="0.3">
      <c r="A202" s="4" t="s">
        <v>356</v>
      </c>
      <c r="B202" s="4" t="s">
        <v>199</v>
      </c>
      <c r="C202" s="4" t="s">
        <v>22</v>
      </c>
      <c r="D202" s="4" t="s">
        <v>60</v>
      </c>
      <c r="E202" s="4" t="s">
        <v>14</v>
      </c>
      <c r="F202" s="5">
        <v>45000</v>
      </c>
      <c r="G202" s="4">
        <v>800</v>
      </c>
      <c r="H202" s="5">
        <v>200000</v>
      </c>
      <c r="I202" s="4" t="s">
        <v>15</v>
      </c>
      <c r="J202" s="4"/>
      <c r="K202" s="4"/>
    </row>
    <row r="203" spans="1:11" x14ac:dyDescent="0.3">
      <c r="A203" s="4" t="s">
        <v>394</v>
      </c>
      <c r="B203" s="4" t="s">
        <v>69</v>
      </c>
      <c r="C203" s="4" t="s">
        <v>26</v>
      </c>
      <c r="D203" s="4" t="s">
        <v>60</v>
      </c>
      <c r="E203" s="4" t="s">
        <v>14</v>
      </c>
      <c r="F203" s="5">
        <v>18000</v>
      </c>
      <c r="G203" s="4">
        <v>700</v>
      </c>
      <c r="H203" s="5">
        <v>150000</v>
      </c>
      <c r="I203" s="4" t="s">
        <v>15</v>
      </c>
      <c r="J203" s="4"/>
      <c r="K203" s="4"/>
    </row>
    <row r="204" spans="1:11" x14ac:dyDescent="0.3">
      <c r="A204" s="4" t="s">
        <v>235</v>
      </c>
      <c r="B204" s="4" t="s">
        <v>129</v>
      </c>
      <c r="C204" s="4" t="s">
        <v>35</v>
      </c>
      <c r="D204" s="4" t="s">
        <v>60</v>
      </c>
      <c r="E204" s="4" t="s">
        <v>28</v>
      </c>
      <c r="F204" s="5">
        <v>32000</v>
      </c>
      <c r="G204" s="4">
        <v>720</v>
      </c>
      <c r="H204" s="5">
        <v>200000</v>
      </c>
      <c r="I204" s="4" t="s">
        <v>15</v>
      </c>
      <c r="J204" s="4"/>
      <c r="K204" s="4"/>
    </row>
    <row r="205" spans="1:11" x14ac:dyDescent="0.3">
      <c r="A205" s="4" t="s">
        <v>217</v>
      </c>
      <c r="B205" s="4" t="s">
        <v>142</v>
      </c>
      <c r="C205" s="4" t="s">
        <v>26</v>
      </c>
      <c r="D205" s="4" t="s">
        <v>18</v>
      </c>
      <c r="E205" s="4" t="s">
        <v>14</v>
      </c>
      <c r="F205" s="5">
        <v>65000</v>
      </c>
      <c r="G205" s="4">
        <v>760</v>
      </c>
      <c r="H205" s="5">
        <v>75000</v>
      </c>
      <c r="I205" s="4" t="s">
        <v>49</v>
      </c>
      <c r="J205" s="4" t="s">
        <v>95</v>
      </c>
      <c r="K205" s="4"/>
    </row>
    <row r="206" spans="1:11" x14ac:dyDescent="0.3">
      <c r="A206" s="4" t="s">
        <v>374</v>
      </c>
      <c r="B206" s="4" t="s">
        <v>231</v>
      </c>
      <c r="C206" s="4" t="s">
        <v>53</v>
      </c>
      <c r="D206" s="4" t="s">
        <v>18</v>
      </c>
      <c r="E206" s="4" t="s">
        <v>28</v>
      </c>
      <c r="F206" s="5">
        <v>55000</v>
      </c>
      <c r="G206" s="4">
        <v>670</v>
      </c>
      <c r="H206" s="5">
        <v>100000</v>
      </c>
      <c r="I206" s="4" t="s">
        <v>49</v>
      </c>
      <c r="J206" s="4" t="s">
        <v>28</v>
      </c>
      <c r="K206" s="4"/>
    </row>
    <row r="207" spans="1:11" x14ac:dyDescent="0.3">
      <c r="A207" s="4" t="s">
        <v>371</v>
      </c>
      <c r="B207" s="4" t="s">
        <v>88</v>
      </c>
      <c r="C207" s="4" t="s">
        <v>43</v>
      </c>
      <c r="D207" s="4" t="s">
        <v>44</v>
      </c>
      <c r="E207" s="4" t="s">
        <v>14</v>
      </c>
      <c r="F207" s="5">
        <v>25000</v>
      </c>
      <c r="G207" s="4">
        <v>780</v>
      </c>
      <c r="H207" s="5">
        <v>50000</v>
      </c>
      <c r="I207" s="4" t="s">
        <v>49</v>
      </c>
      <c r="J207" s="4" t="s">
        <v>90</v>
      </c>
      <c r="K207" s="4"/>
    </row>
    <row r="208" spans="1:11" x14ac:dyDescent="0.3">
      <c r="A208" s="4" t="s">
        <v>393</v>
      </c>
      <c r="B208" s="4" t="s">
        <v>107</v>
      </c>
      <c r="C208" s="4" t="s">
        <v>35</v>
      </c>
      <c r="D208" s="4" t="s">
        <v>44</v>
      </c>
      <c r="E208" s="4" t="s">
        <v>28</v>
      </c>
      <c r="F208" s="5">
        <v>40000</v>
      </c>
      <c r="G208" s="4">
        <v>800</v>
      </c>
      <c r="H208" s="5">
        <v>300000</v>
      </c>
      <c r="I208" s="4" t="s">
        <v>49</v>
      </c>
      <c r="J208" s="4" t="s">
        <v>212</v>
      </c>
      <c r="K208" s="4"/>
    </row>
    <row r="209" spans="1:11" x14ac:dyDescent="0.3">
      <c r="A209" s="4" t="s">
        <v>369</v>
      </c>
      <c r="B209" s="4" t="s">
        <v>125</v>
      </c>
      <c r="C209" s="4" t="s">
        <v>22</v>
      </c>
      <c r="D209" s="4" t="s">
        <v>44</v>
      </c>
      <c r="E209" s="4" t="s">
        <v>28</v>
      </c>
      <c r="F209" s="5">
        <v>18000</v>
      </c>
      <c r="G209" s="4">
        <v>720</v>
      </c>
      <c r="H209" s="5">
        <v>300000</v>
      </c>
      <c r="I209" s="4" t="s">
        <v>49</v>
      </c>
      <c r="J209" s="4" t="s">
        <v>46</v>
      </c>
      <c r="K209" s="4"/>
    </row>
    <row r="210" spans="1:11" x14ac:dyDescent="0.3">
      <c r="A210" s="4" t="s">
        <v>347</v>
      </c>
      <c r="B210" s="4" t="s">
        <v>52</v>
      </c>
      <c r="C210" s="4" t="s">
        <v>12</v>
      </c>
      <c r="D210" s="4" t="s">
        <v>44</v>
      </c>
      <c r="E210" s="4" t="s">
        <v>28</v>
      </c>
      <c r="F210" s="5">
        <v>18000</v>
      </c>
      <c r="G210" s="4">
        <v>760</v>
      </c>
      <c r="H210" s="5">
        <v>100000</v>
      </c>
      <c r="I210" s="4" t="s">
        <v>49</v>
      </c>
      <c r="J210" s="4" t="s">
        <v>46</v>
      </c>
      <c r="K210" s="4"/>
    </row>
    <row r="211" spans="1:11" x14ac:dyDescent="0.3">
      <c r="A211" s="4" t="s">
        <v>362</v>
      </c>
      <c r="B211" s="4" t="s">
        <v>58</v>
      </c>
      <c r="C211" s="4" t="s">
        <v>12</v>
      </c>
      <c r="D211" s="4" t="s">
        <v>44</v>
      </c>
      <c r="E211" s="4" t="s">
        <v>28</v>
      </c>
      <c r="F211" s="5">
        <v>22000</v>
      </c>
      <c r="G211" s="4">
        <v>700</v>
      </c>
      <c r="H211" s="5">
        <v>50000</v>
      </c>
      <c r="I211" s="4" t="s">
        <v>49</v>
      </c>
      <c r="J211" s="4" t="s">
        <v>46</v>
      </c>
      <c r="K211" s="4"/>
    </row>
    <row r="212" spans="1:11" x14ac:dyDescent="0.3">
      <c r="A212" s="4" t="s">
        <v>201</v>
      </c>
      <c r="B212" s="4" t="s">
        <v>105</v>
      </c>
      <c r="C212" s="4" t="s">
        <v>43</v>
      </c>
      <c r="D212" s="4" t="s">
        <v>92</v>
      </c>
      <c r="E212" s="4" t="s">
        <v>14</v>
      </c>
      <c r="F212" s="5">
        <v>45000</v>
      </c>
      <c r="G212" s="4">
        <v>720</v>
      </c>
      <c r="H212" s="5">
        <v>100000</v>
      </c>
      <c r="I212" s="4" t="s">
        <v>49</v>
      </c>
      <c r="J212" s="4" t="s">
        <v>67</v>
      </c>
      <c r="K212" s="4"/>
    </row>
    <row r="213" spans="1:11" x14ac:dyDescent="0.3">
      <c r="A213" s="4" t="s">
        <v>353</v>
      </c>
      <c r="B213" s="4" t="s">
        <v>101</v>
      </c>
      <c r="C213" s="4" t="s">
        <v>43</v>
      </c>
      <c r="D213" s="4" t="s">
        <v>92</v>
      </c>
      <c r="E213" s="4" t="s">
        <v>14</v>
      </c>
      <c r="F213" s="5">
        <v>22000</v>
      </c>
      <c r="G213" s="4">
        <v>720</v>
      </c>
      <c r="H213" s="5">
        <v>300000</v>
      </c>
      <c r="I213" s="4" t="s">
        <v>49</v>
      </c>
      <c r="J213" s="4" t="s">
        <v>46</v>
      </c>
      <c r="K213" s="4"/>
    </row>
    <row r="214" spans="1:11" x14ac:dyDescent="0.3">
      <c r="A214" s="4" t="s">
        <v>376</v>
      </c>
      <c r="B214" s="4" t="s">
        <v>37</v>
      </c>
      <c r="C214" s="4" t="s">
        <v>43</v>
      </c>
      <c r="D214" s="4" t="s">
        <v>92</v>
      </c>
      <c r="E214" s="4" t="s">
        <v>14</v>
      </c>
      <c r="F214" s="5">
        <v>15000</v>
      </c>
      <c r="G214" s="4">
        <v>780</v>
      </c>
      <c r="H214" s="5">
        <v>200000</v>
      </c>
      <c r="I214" s="4" t="s">
        <v>49</v>
      </c>
      <c r="J214" s="4" t="s">
        <v>46</v>
      </c>
      <c r="K214" s="4"/>
    </row>
    <row r="215" spans="1:11" x14ac:dyDescent="0.3">
      <c r="A215" s="4" t="s">
        <v>206</v>
      </c>
      <c r="B215" s="4" t="s">
        <v>199</v>
      </c>
      <c r="C215" s="4" t="s">
        <v>12</v>
      </c>
      <c r="D215" s="4" t="s">
        <v>92</v>
      </c>
      <c r="E215" s="4" t="s">
        <v>14</v>
      </c>
      <c r="F215" s="5">
        <v>35000</v>
      </c>
      <c r="G215" s="4">
        <v>580</v>
      </c>
      <c r="H215" s="5">
        <v>250000</v>
      </c>
      <c r="I215" s="4" t="s">
        <v>49</v>
      </c>
      <c r="J215" s="4" t="s">
        <v>40</v>
      </c>
      <c r="K215" s="4"/>
    </row>
    <row r="216" spans="1:11" x14ac:dyDescent="0.3">
      <c r="A216" s="4" t="s">
        <v>89</v>
      </c>
      <c r="B216" s="4" t="s">
        <v>72</v>
      </c>
      <c r="C216" s="4" t="s">
        <v>53</v>
      </c>
      <c r="D216" s="4" t="s">
        <v>13</v>
      </c>
      <c r="E216" s="4" t="s">
        <v>14</v>
      </c>
      <c r="F216" s="5">
        <v>28000</v>
      </c>
      <c r="G216" s="4">
        <v>800</v>
      </c>
      <c r="H216" s="5">
        <v>75000</v>
      </c>
      <c r="I216" s="4" t="s">
        <v>49</v>
      </c>
      <c r="J216" s="4" t="s">
        <v>90</v>
      </c>
      <c r="K216" s="4"/>
    </row>
    <row r="217" spans="1:11" x14ac:dyDescent="0.3">
      <c r="A217" s="4" t="s">
        <v>79</v>
      </c>
      <c r="B217" s="4" t="s">
        <v>52</v>
      </c>
      <c r="C217" s="4" t="s">
        <v>26</v>
      </c>
      <c r="D217" s="4" t="s">
        <v>13</v>
      </c>
      <c r="E217" s="4" t="s">
        <v>14</v>
      </c>
      <c r="F217" s="5">
        <v>22000</v>
      </c>
      <c r="G217" s="4">
        <v>800</v>
      </c>
      <c r="H217" s="5">
        <v>200000</v>
      </c>
      <c r="I217" s="4" t="s">
        <v>49</v>
      </c>
      <c r="J217" s="4" t="s">
        <v>46</v>
      </c>
      <c r="K217" s="4"/>
    </row>
    <row r="218" spans="1:11" x14ac:dyDescent="0.3">
      <c r="A218" s="4" t="s">
        <v>221</v>
      </c>
      <c r="B218" s="4" t="s">
        <v>74</v>
      </c>
      <c r="C218" s="4" t="s">
        <v>26</v>
      </c>
      <c r="D218" s="4" t="s">
        <v>13</v>
      </c>
      <c r="E218" s="4" t="s">
        <v>14</v>
      </c>
      <c r="F218" s="5">
        <v>40000</v>
      </c>
      <c r="G218" s="4">
        <v>670</v>
      </c>
      <c r="H218" s="5">
        <v>150000</v>
      </c>
      <c r="I218" s="4" t="s">
        <v>49</v>
      </c>
      <c r="J218" s="4" t="s">
        <v>50</v>
      </c>
      <c r="K218" s="4"/>
    </row>
    <row r="219" spans="1:11" x14ac:dyDescent="0.3">
      <c r="A219" s="4" t="s">
        <v>264</v>
      </c>
      <c r="B219" s="4" t="s">
        <v>86</v>
      </c>
      <c r="C219" s="4" t="s">
        <v>35</v>
      </c>
      <c r="D219" s="4" t="s">
        <v>13</v>
      </c>
      <c r="E219" s="4" t="s">
        <v>28</v>
      </c>
      <c r="F219" s="5">
        <v>40000</v>
      </c>
      <c r="G219" s="4">
        <v>700</v>
      </c>
      <c r="H219" s="5">
        <v>200000</v>
      </c>
      <c r="I219" s="4" t="s">
        <v>49</v>
      </c>
      <c r="J219" s="4" t="s">
        <v>28</v>
      </c>
      <c r="K219" s="4"/>
    </row>
    <row r="220" spans="1:11" x14ac:dyDescent="0.3">
      <c r="A220" s="4" t="s">
        <v>71</v>
      </c>
      <c r="B220" s="4" t="s">
        <v>72</v>
      </c>
      <c r="C220" s="4" t="s">
        <v>53</v>
      </c>
      <c r="D220" s="4" t="s">
        <v>13</v>
      </c>
      <c r="E220" s="4" t="s">
        <v>28</v>
      </c>
      <c r="F220" s="5">
        <v>35000</v>
      </c>
      <c r="G220" s="4">
        <v>610</v>
      </c>
      <c r="H220" s="5">
        <v>250000</v>
      </c>
      <c r="I220" s="4" t="s">
        <v>49</v>
      </c>
      <c r="J220" s="4" t="s">
        <v>40</v>
      </c>
      <c r="K220" s="4"/>
    </row>
    <row r="221" spans="1:11" x14ac:dyDescent="0.3">
      <c r="A221" s="4" t="s">
        <v>288</v>
      </c>
      <c r="B221" s="4" t="s">
        <v>58</v>
      </c>
      <c r="C221" s="4" t="s">
        <v>35</v>
      </c>
      <c r="D221" s="4" t="s">
        <v>32</v>
      </c>
      <c r="E221" s="4" t="s">
        <v>14</v>
      </c>
      <c r="F221" s="5">
        <v>35000</v>
      </c>
      <c r="G221" s="4" t="s">
        <v>45</v>
      </c>
      <c r="H221" s="5">
        <v>300000</v>
      </c>
      <c r="I221" s="4" t="s">
        <v>49</v>
      </c>
      <c r="J221" s="4" t="s">
        <v>95</v>
      </c>
      <c r="K221" s="4"/>
    </row>
    <row r="222" spans="1:11" x14ac:dyDescent="0.3">
      <c r="A222" s="4" t="s">
        <v>93</v>
      </c>
      <c r="B222" s="4" t="s">
        <v>94</v>
      </c>
      <c r="C222" s="4" t="s">
        <v>35</v>
      </c>
      <c r="D222" s="4" t="s">
        <v>32</v>
      </c>
      <c r="E222" s="4" t="s">
        <v>28</v>
      </c>
      <c r="F222" s="5">
        <v>35000</v>
      </c>
      <c r="G222" s="4">
        <v>720</v>
      </c>
      <c r="H222" s="5">
        <v>50000</v>
      </c>
      <c r="I222" s="4" t="s">
        <v>49</v>
      </c>
      <c r="J222" s="4" t="s">
        <v>95</v>
      </c>
      <c r="K222" s="4"/>
    </row>
    <row r="223" spans="1:11" x14ac:dyDescent="0.3">
      <c r="A223" s="4" t="s">
        <v>379</v>
      </c>
      <c r="B223" s="4" t="s">
        <v>58</v>
      </c>
      <c r="C223" s="4" t="s">
        <v>22</v>
      </c>
      <c r="D223" s="4" t="s">
        <v>32</v>
      </c>
      <c r="E223" s="4" t="s">
        <v>28</v>
      </c>
      <c r="F223" s="5">
        <v>15000</v>
      </c>
      <c r="G223" s="4">
        <v>610</v>
      </c>
      <c r="H223" s="5">
        <v>200000</v>
      </c>
      <c r="I223" s="4" t="s">
        <v>49</v>
      </c>
      <c r="J223" s="4" t="s">
        <v>46</v>
      </c>
      <c r="K223" s="4"/>
    </row>
    <row r="224" spans="1:11" x14ac:dyDescent="0.3">
      <c r="A224" s="4" t="s">
        <v>380</v>
      </c>
      <c r="B224" s="4" t="s">
        <v>31</v>
      </c>
      <c r="C224" s="4" t="s">
        <v>12</v>
      </c>
      <c r="D224" s="4" t="s">
        <v>38</v>
      </c>
      <c r="E224" s="4" t="s">
        <v>28</v>
      </c>
      <c r="F224" s="5">
        <v>32000</v>
      </c>
      <c r="G224" s="4">
        <v>610</v>
      </c>
      <c r="H224" s="5">
        <v>200000</v>
      </c>
      <c r="I224" s="4" t="s">
        <v>49</v>
      </c>
      <c r="J224" s="4" t="s">
        <v>40</v>
      </c>
      <c r="K224" s="4"/>
    </row>
    <row r="225" spans="1:11" x14ac:dyDescent="0.3">
      <c r="A225" s="4" t="s">
        <v>47</v>
      </c>
      <c r="B225" s="4" t="s">
        <v>48</v>
      </c>
      <c r="C225" s="4" t="s">
        <v>35</v>
      </c>
      <c r="D225" s="4" t="s">
        <v>27</v>
      </c>
      <c r="E225" s="4" t="s">
        <v>14</v>
      </c>
      <c r="F225" s="5">
        <v>35000</v>
      </c>
      <c r="G225" s="4">
        <v>670</v>
      </c>
      <c r="H225" s="5">
        <v>75000</v>
      </c>
      <c r="I225" s="4" t="s">
        <v>49</v>
      </c>
      <c r="J225" s="4" t="s">
        <v>50</v>
      </c>
      <c r="K225" s="4"/>
    </row>
    <row r="226" spans="1:11" x14ac:dyDescent="0.3">
      <c r="A226" s="4" t="s">
        <v>365</v>
      </c>
      <c r="B226" s="4" t="s">
        <v>167</v>
      </c>
      <c r="C226" s="4" t="s">
        <v>53</v>
      </c>
      <c r="D226" s="4" t="s">
        <v>27</v>
      </c>
      <c r="E226" s="4" t="s">
        <v>14</v>
      </c>
      <c r="F226" s="5">
        <v>40000</v>
      </c>
      <c r="G226" s="4">
        <v>760</v>
      </c>
      <c r="H226" s="5">
        <v>150000</v>
      </c>
      <c r="I226" s="4" t="s">
        <v>49</v>
      </c>
      <c r="J226" s="4" t="s">
        <v>50</v>
      </c>
      <c r="K226" s="4"/>
    </row>
    <row r="227" spans="1:11" x14ac:dyDescent="0.3">
      <c r="A227" s="4" t="s">
        <v>301</v>
      </c>
      <c r="B227" s="4" t="s">
        <v>300</v>
      </c>
      <c r="C227" s="4" t="s">
        <v>43</v>
      </c>
      <c r="D227" s="4" t="s">
        <v>27</v>
      </c>
      <c r="E227" s="4" t="s">
        <v>28</v>
      </c>
      <c r="F227" s="5">
        <v>55000</v>
      </c>
      <c r="G227" s="4">
        <v>740</v>
      </c>
      <c r="H227" s="5">
        <v>50000</v>
      </c>
      <c r="I227" s="4" t="s">
        <v>49</v>
      </c>
      <c r="J227" s="4" t="s">
        <v>67</v>
      </c>
      <c r="K227" s="4"/>
    </row>
    <row r="228" spans="1:11" x14ac:dyDescent="0.3">
      <c r="A228" s="4" t="s">
        <v>292</v>
      </c>
      <c r="B228" s="4" t="s">
        <v>142</v>
      </c>
      <c r="C228" s="4" t="s">
        <v>53</v>
      </c>
      <c r="D228" s="4" t="s">
        <v>27</v>
      </c>
      <c r="E228" s="4" t="s">
        <v>28</v>
      </c>
      <c r="F228" s="5">
        <v>22000</v>
      </c>
      <c r="G228" s="4">
        <v>580</v>
      </c>
      <c r="H228" s="5">
        <v>50000</v>
      </c>
      <c r="I228" s="4" t="s">
        <v>49</v>
      </c>
      <c r="J228" s="4" t="s">
        <v>46</v>
      </c>
      <c r="K228" s="4"/>
    </row>
    <row r="229" spans="1:11" x14ac:dyDescent="0.3">
      <c r="A229" s="4" t="s">
        <v>372</v>
      </c>
      <c r="B229" s="4" t="s">
        <v>58</v>
      </c>
      <c r="C229" s="4" t="s">
        <v>35</v>
      </c>
      <c r="D229" s="4" t="s">
        <v>65</v>
      </c>
      <c r="E229" s="4" t="s">
        <v>28</v>
      </c>
      <c r="F229" s="5">
        <v>40000</v>
      </c>
      <c r="G229" s="4">
        <v>760</v>
      </c>
      <c r="H229" s="5">
        <v>75000</v>
      </c>
      <c r="I229" s="4" t="s">
        <v>49</v>
      </c>
      <c r="J229" s="4" t="s">
        <v>90</v>
      </c>
      <c r="K229" s="4"/>
    </row>
    <row r="230" spans="1:11" x14ac:dyDescent="0.3">
      <c r="A230" s="4" t="s">
        <v>384</v>
      </c>
      <c r="B230" s="4" t="s">
        <v>134</v>
      </c>
      <c r="C230" s="4" t="s">
        <v>53</v>
      </c>
      <c r="D230" s="4" t="s">
        <v>60</v>
      </c>
      <c r="E230" s="4" t="s">
        <v>14</v>
      </c>
      <c r="F230" s="5">
        <v>55000</v>
      </c>
      <c r="G230" s="4">
        <v>800</v>
      </c>
      <c r="H230" s="5">
        <v>300000</v>
      </c>
      <c r="I230" s="4" t="s">
        <v>49</v>
      </c>
      <c r="J230" s="4" t="s">
        <v>67</v>
      </c>
      <c r="K230" s="4"/>
    </row>
    <row r="231" spans="1:11" x14ac:dyDescent="0.3">
      <c r="A231" s="4" t="s">
        <v>286</v>
      </c>
      <c r="B231" s="4" t="s">
        <v>131</v>
      </c>
      <c r="C231" s="4" t="s">
        <v>53</v>
      </c>
      <c r="D231" s="4" t="s">
        <v>60</v>
      </c>
      <c r="E231" s="4" t="s">
        <v>28</v>
      </c>
      <c r="F231" s="5">
        <v>18000</v>
      </c>
      <c r="G231" s="4" t="s">
        <v>45</v>
      </c>
      <c r="H231" s="5">
        <v>150000</v>
      </c>
      <c r="I231" s="4" t="s">
        <v>49</v>
      </c>
      <c r="J231" s="4" t="s">
        <v>46</v>
      </c>
      <c r="K231" s="4"/>
    </row>
    <row r="232" spans="1:11" x14ac:dyDescent="0.3">
      <c r="A232" s="4" t="s">
        <v>171</v>
      </c>
      <c r="B232" s="4" t="s">
        <v>21</v>
      </c>
      <c r="C232" s="4" t="s">
        <v>26</v>
      </c>
      <c r="D232" s="4" t="s">
        <v>60</v>
      </c>
      <c r="E232" s="4" t="s">
        <v>28</v>
      </c>
      <c r="F232" s="5">
        <v>28000</v>
      </c>
      <c r="G232" s="4">
        <v>580</v>
      </c>
      <c r="H232" s="5">
        <v>250000</v>
      </c>
      <c r="I232" s="4" t="s">
        <v>49</v>
      </c>
      <c r="J232" s="4" t="s">
        <v>40</v>
      </c>
      <c r="K232" s="4"/>
    </row>
    <row r="233" spans="1:11" x14ac:dyDescent="0.3">
      <c r="A233" s="4" t="s">
        <v>308</v>
      </c>
      <c r="B233" s="4" t="s">
        <v>167</v>
      </c>
      <c r="C233" s="4" t="s">
        <v>22</v>
      </c>
      <c r="D233" s="4" t="s">
        <v>18</v>
      </c>
      <c r="E233" s="4" t="s">
        <v>14</v>
      </c>
      <c r="F233" s="5">
        <v>65000</v>
      </c>
      <c r="G233" s="4">
        <v>800</v>
      </c>
      <c r="H233" s="5">
        <v>100000</v>
      </c>
      <c r="I233" s="4" t="s">
        <v>84</v>
      </c>
      <c r="J233" s="4"/>
      <c r="K233" s="4"/>
    </row>
    <row r="234" spans="1:11" x14ac:dyDescent="0.3">
      <c r="A234" s="4" t="s">
        <v>368</v>
      </c>
      <c r="B234" s="4" t="s">
        <v>125</v>
      </c>
      <c r="C234" s="4" t="s">
        <v>53</v>
      </c>
      <c r="D234" s="4" t="s">
        <v>44</v>
      </c>
      <c r="E234" s="4" t="s">
        <v>28</v>
      </c>
      <c r="F234" s="5">
        <v>32000</v>
      </c>
      <c r="G234" s="4" t="s">
        <v>45</v>
      </c>
      <c r="H234" s="5">
        <v>200000</v>
      </c>
      <c r="I234" s="4" t="s">
        <v>84</v>
      </c>
      <c r="J234" s="4"/>
      <c r="K234" s="4"/>
    </row>
    <row r="235" spans="1:11" x14ac:dyDescent="0.3">
      <c r="A235" s="4" t="s">
        <v>225</v>
      </c>
      <c r="B235" s="4" t="s">
        <v>81</v>
      </c>
      <c r="C235" s="4" t="s">
        <v>26</v>
      </c>
      <c r="D235" s="4" t="s">
        <v>44</v>
      </c>
      <c r="E235" s="4" t="s">
        <v>28</v>
      </c>
      <c r="F235" s="5">
        <v>45000</v>
      </c>
      <c r="G235" s="4">
        <v>760</v>
      </c>
      <c r="H235" s="5">
        <v>100000</v>
      </c>
      <c r="I235" s="4" t="s">
        <v>84</v>
      </c>
      <c r="J235" s="4"/>
      <c r="K235" s="4"/>
    </row>
    <row r="236" spans="1:11" x14ac:dyDescent="0.3">
      <c r="A236" s="4" t="s">
        <v>370</v>
      </c>
      <c r="B236" s="4" t="s">
        <v>31</v>
      </c>
      <c r="C236" s="4" t="s">
        <v>53</v>
      </c>
      <c r="D236" s="4" t="s">
        <v>92</v>
      </c>
      <c r="E236" s="4" t="s">
        <v>14</v>
      </c>
      <c r="F236" s="5">
        <v>22000</v>
      </c>
      <c r="G236" s="4">
        <v>580</v>
      </c>
      <c r="H236" s="5">
        <v>300000</v>
      </c>
      <c r="I236" s="4" t="s">
        <v>84</v>
      </c>
      <c r="J236" s="4"/>
      <c r="K236" s="4"/>
    </row>
    <row r="237" spans="1:11" x14ac:dyDescent="0.3">
      <c r="A237" s="4" t="s">
        <v>139</v>
      </c>
      <c r="B237" s="4" t="s">
        <v>140</v>
      </c>
      <c r="C237" s="4" t="s">
        <v>35</v>
      </c>
      <c r="D237" s="4" t="s">
        <v>92</v>
      </c>
      <c r="E237" s="4" t="s">
        <v>28</v>
      </c>
      <c r="F237" s="5">
        <v>32000</v>
      </c>
      <c r="G237" s="4">
        <v>700</v>
      </c>
      <c r="H237" s="5">
        <v>200000</v>
      </c>
      <c r="I237" s="4" t="s">
        <v>84</v>
      </c>
      <c r="J237" s="4"/>
      <c r="K237" s="4"/>
    </row>
    <row r="238" spans="1:11" x14ac:dyDescent="0.3">
      <c r="A238" s="4" t="s">
        <v>329</v>
      </c>
      <c r="B238" s="4" t="s">
        <v>257</v>
      </c>
      <c r="C238" s="4" t="s">
        <v>35</v>
      </c>
      <c r="D238" s="4" t="s">
        <v>92</v>
      </c>
      <c r="E238" s="4" t="s">
        <v>28</v>
      </c>
      <c r="F238" s="5">
        <v>22000</v>
      </c>
      <c r="G238" s="4" t="s">
        <v>45</v>
      </c>
      <c r="H238" s="5">
        <v>100000</v>
      </c>
      <c r="I238" s="4" t="s">
        <v>84</v>
      </c>
      <c r="J238" s="4"/>
      <c r="K238" s="4"/>
    </row>
    <row r="239" spans="1:11" x14ac:dyDescent="0.3">
      <c r="A239" s="4" t="s">
        <v>291</v>
      </c>
      <c r="B239" s="4" t="s">
        <v>147</v>
      </c>
      <c r="C239" s="4" t="s">
        <v>26</v>
      </c>
      <c r="D239" s="4" t="s">
        <v>92</v>
      </c>
      <c r="E239" s="4" t="s">
        <v>28</v>
      </c>
      <c r="F239" s="5">
        <v>45000</v>
      </c>
      <c r="G239" s="4">
        <v>580</v>
      </c>
      <c r="H239" s="5">
        <v>100000</v>
      </c>
      <c r="I239" s="4" t="s">
        <v>84</v>
      </c>
      <c r="J239" s="4"/>
      <c r="K239" s="4"/>
    </row>
    <row r="240" spans="1:11" x14ac:dyDescent="0.3">
      <c r="A240" s="4" t="s">
        <v>325</v>
      </c>
      <c r="B240" s="4" t="s">
        <v>134</v>
      </c>
      <c r="C240" s="4" t="s">
        <v>43</v>
      </c>
      <c r="D240" s="4" t="s">
        <v>70</v>
      </c>
      <c r="E240" s="4" t="s">
        <v>14</v>
      </c>
      <c r="F240" s="5">
        <v>22000</v>
      </c>
      <c r="G240" s="4">
        <v>670</v>
      </c>
      <c r="H240" s="5">
        <v>200000</v>
      </c>
      <c r="I240" s="4" t="s">
        <v>84</v>
      </c>
      <c r="J240" s="4"/>
      <c r="K240" s="4"/>
    </row>
    <row r="241" spans="1:11" x14ac:dyDescent="0.3">
      <c r="A241" s="4" t="s">
        <v>339</v>
      </c>
      <c r="B241" s="4" t="s">
        <v>300</v>
      </c>
      <c r="C241" s="4" t="s">
        <v>12</v>
      </c>
      <c r="D241" s="4" t="s">
        <v>70</v>
      </c>
      <c r="E241" s="4" t="s">
        <v>14</v>
      </c>
      <c r="F241" s="5">
        <v>65000</v>
      </c>
      <c r="G241" s="4">
        <v>800</v>
      </c>
      <c r="H241" s="5">
        <v>200000</v>
      </c>
      <c r="I241" s="4" t="s">
        <v>84</v>
      </c>
      <c r="J241" s="4"/>
      <c r="K241" s="4"/>
    </row>
    <row r="242" spans="1:11" x14ac:dyDescent="0.3">
      <c r="A242" s="4" t="s">
        <v>341</v>
      </c>
      <c r="B242" s="4" t="s">
        <v>88</v>
      </c>
      <c r="C242" s="4" t="s">
        <v>22</v>
      </c>
      <c r="D242" s="4" t="s">
        <v>13</v>
      </c>
      <c r="E242" s="4" t="s">
        <v>14</v>
      </c>
      <c r="F242" s="5">
        <v>65000</v>
      </c>
      <c r="G242" s="4">
        <v>700</v>
      </c>
      <c r="H242" s="5">
        <v>200000</v>
      </c>
      <c r="I242" s="4" t="s">
        <v>84</v>
      </c>
      <c r="J242" s="4"/>
      <c r="K242" s="4"/>
    </row>
    <row r="243" spans="1:11" x14ac:dyDescent="0.3">
      <c r="A243" s="4" t="s">
        <v>272</v>
      </c>
      <c r="B243" s="4" t="s">
        <v>147</v>
      </c>
      <c r="C243" s="4" t="s">
        <v>26</v>
      </c>
      <c r="D243" s="4" t="s">
        <v>13</v>
      </c>
      <c r="E243" s="4" t="s">
        <v>14</v>
      </c>
      <c r="F243" s="5">
        <v>18000</v>
      </c>
      <c r="G243" s="4">
        <v>580</v>
      </c>
      <c r="H243" s="5">
        <v>250000</v>
      </c>
      <c r="I243" s="4" t="s">
        <v>84</v>
      </c>
      <c r="J243" s="4"/>
      <c r="K243" s="4"/>
    </row>
    <row r="244" spans="1:11" x14ac:dyDescent="0.3">
      <c r="A244" s="4" t="s">
        <v>282</v>
      </c>
      <c r="B244" s="4" t="s">
        <v>83</v>
      </c>
      <c r="C244" s="4" t="s">
        <v>12</v>
      </c>
      <c r="D244" s="4" t="s">
        <v>13</v>
      </c>
      <c r="E244" s="4" t="s">
        <v>28</v>
      </c>
      <c r="F244" s="5">
        <v>40000</v>
      </c>
      <c r="G244" s="4">
        <v>800</v>
      </c>
      <c r="H244" s="5">
        <v>200000</v>
      </c>
      <c r="I244" s="4" t="s">
        <v>84</v>
      </c>
      <c r="J244" s="4"/>
      <c r="K244" s="4"/>
    </row>
    <row r="245" spans="1:11" x14ac:dyDescent="0.3">
      <c r="A245" s="4" t="s">
        <v>169</v>
      </c>
      <c r="B245" s="4" t="s">
        <v>103</v>
      </c>
      <c r="C245" s="4" t="s">
        <v>35</v>
      </c>
      <c r="D245" s="4" t="s">
        <v>32</v>
      </c>
      <c r="E245" s="4" t="s">
        <v>14</v>
      </c>
      <c r="F245" s="5">
        <v>18000</v>
      </c>
      <c r="G245" s="4">
        <v>800</v>
      </c>
      <c r="H245" s="5">
        <v>300000</v>
      </c>
      <c r="I245" s="4" t="s">
        <v>84</v>
      </c>
      <c r="J245" s="4"/>
      <c r="K245" s="4"/>
    </row>
    <row r="246" spans="1:11" x14ac:dyDescent="0.3">
      <c r="A246" s="4" t="s">
        <v>149</v>
      </c>
      <c r="B246" s="4" t="s">
        <v>107</v>
      </c>
      <c r="C246" s="4" t="s">
        <v>22</v>
      </c>
      <c r="D246" s="4" t="s">
        <v>32</v>
      </c>
      <c r="E246" s="4" t="s">
        <v>28</v>
      </c>
      <c r="F246" s="5">
        <v>40000</v>
      </c>
      <c r="G246" s="4">
        <v>740</v>
      </c>
      <c r="H246" s="5">
        <v>75000</v>
      </c>
      <c r="I246" s="4" t="s">
        <v>84</v>
      </c>
      <c r="J246" s="4"/>
      <c r="K246" s="4"/>
    </row>
    <row r="247" spans="1:11" x14ac:dyDescent="0.3">
      <c r="A247" s="4" t="s">
        <v>240</v>
      </c>
      <c r="B247" s="4" t="s">
        <v>176</v>
      </c>
      <c r="C247" s="4" t="s">
        <v>22</v>
      </c>
      <c r="D247" s="4" t="s">
        <v>32</v>
      </c>
      <c r="E247" s="4" t="s">
        <v>28</v>
      </c>
      <c r="F247" s="5">
        <v>18000</v>
      </c>
      <c r="G247" s="4">
        <v>650</v>
      </c>
      <c r="H247" s="5">
        <v>100000</v>
      </c>
      <c r="I247" s="4" t="s">
        <v>84</v>
      </c>
      <c r="J247" s="4"/>
      <c r="K247" s="4"/>
    </row>
    <row r="248" spans="1:11" x14ac:dyDescent="0.3">
      <c r="A248" s="4" t="s">
        <v>213</v>
      </c>
      <c r="B248" s="4" t="s">
        <v>121</v>
      </c>
      <c r="C248" s="4" t="s">
        <v>12</v>
      </c>
      <c r="D248" s="4" t="s">
        <v>38</v>
      </c>
      <c r="E248" s="4" t="s">
        <v>28</v>
      </c>
      <c r="F248" s="5">
        <v>22000</v>
      </c>
      <c r="G248" s="4">
        <v>780</v>
      </c>
      <c r="H248" s="5">
        <v>300000</v>
      </c>
      <c r="I248" s="4" t="s">
        <v>84</v>
      </c>
      <c r="J248" s="4"/>
      <c r="K248" s="4"/>
    </row>
    <row r="249" spans="1:11" x14ac:dyDescent="0.3">
      <c r="A249" s="4" t="s">
        <v>388</v>
      </c>
      <c r="B249" s="4" t="s">
        <v>153</v>
      </c>
      <c r="C249" s="4" t="s">
        <v>43</v>
      </c>
      <c r="D249" s="4" t="s">
        <v>27</v>
      </c>
      <c r="E249" s="4" t="s">
        <v>14</v>
      </c>
      <c r="F249" s="5">
        <v>15000</v>
      </c>
      <c r="G249" s="4">
        <v>580</v>
      </c>
      <c r="H249" s="5">
        <v>250000</v>
      </c>
      <c r="I249" s="4" t="s">
        <v>84</v>
      </c>
      <c r="J249" s="4"/>
      <c r="K249" s="4"/>
    </row>
    <row r="250" spans="1:11" x14ac:dyDescent="0.3">
      <c r="A250" s="4" t="s">
        <v>253</v>
      </c>
      <c r="B250" s="4" t="s">
        <v>55</v>
      </c>
      <c r="C250" s="4" t="s">
        <v>35</v>
      </c>
      <c r="D250" s="4" t="s">
        <v>27</v>
      </c>
      <c r="E250" s="4" t="s">
        <v>14</v>
      </c>
      <c r="F250" s="5">
        <v>35000</v>
      </c>
      <c r="G250" s="4">
        <v>740</v>
      </c>
      <c r="H250" s="5">
        <v>250000</v>
      </c>
      <c r="I250" s="4" t="s">
        <v>84</v>
      </c>
      <c r="J250" s="4"/>
      <c r="K250" s="4"/>
    </row>
    <row r="251" spans="1:11" x14ac:dyDescent="0.3">
      <c r="A251" s="4" t="s">
        <v>378</v>
      </c>
      <c r="B251" s="4" t="s">
        <v>55</v>
      </c>
      <c r="C251" s="4" t="s">
        <v>35</v>
      </c>
      <c r="D251" s="4" t="s">
        <v>27</v>
      </c>
      <c r="E251" s="4" t="s">
        <v>14</v>
      </c>
      <c r="F251" s="5">
        <v>40000</v>
      </c>
      <c r="G251" s="4">
        <v>700</v>
      </c>
      <c r="H251" s="5">
        <v>150000</v>
      </c>
      <c r="I251" s="4" t="s">
        <v>84</v>
      </c>
      <c r="J251" s="4"/>
      <c r="K251" s="4"/>
    </row>
    <row r="252" spans="1:11" x14ac:dyDescent="0.3">
      <c r="A252" s="4" t="s">
        <v>128</v>
      </c>
      <c r="B252" s="4" t="s">
        <v>129</v>
      </c>
      <c r="C252" s="4" t="s">
        <v>53</v>
      </c>
      <c r="D252" s="4" t="s">
        <v>27</v>
      </c>
      <c r="E252" s="4" t="s">
        <v>14</v>
      </c>
      <c r="F252" s="5">
        <v>65000</v>
      </c>
      <c r="G252" s="4">
        <v>580</v>
      </c>
      <c r="H252" s="5">
        <v>200000</v>
      </c>
      <c r="I252" s="4" t="s">
        <v>84</v>
      </c>
      <c r="J252" s="4"/>
      <c r="K252" s="4"/>
    </row>
    <row r="253" spans="1:11" x14ac:dyDescent="0.3">
      <c r="A253" s="4" t="s">
        <v>233</v>
      </c>
      <c r="B253" s="4" t="s">
        <v>25</v>
      </c>
      <c r="C253" s="4" t="s">
        <v>35</v>
      </c>
      <c r="D253" s="4" t="s">
        <v>27</v>
      </c>
      <c r="E253" s="4" t="s">
        <v>28</v>
      </c>
      <c r="F253" s="5">
        <v>25000</v>
      </c>
      <c r="G253" s="4">
        <v>580</v>
      </c>
      <c r="H253" s="5">
        <v>50000</v>
      </c>
      <c r="I253" s="4" t="s">
        <v>84</v>
      </c>
      <c r="J253" s="4"/>
      <c r="K253" s="4"/>
    </row>
    <row r="254" spans="1:11" x14ac:dyDescent="0.3">
      <c r="A254" s="4" t="s">
        <v>350</v>
      </c>
      <c r="B254" s="4" t="s">
        <v>72</v>
      </c>
      <c r="C254" s="4" t="s">
        <v>43</v>
      </c>
      <c r="D254" s="4" t="s">
        <v>65</v>
      </c>
      <c r="E254" s="4" t="s">
        <v>14</v>
      </c>
      <c r="F254" s="5">
        <v>18000</v>
      </c>
      <c r="G254" s="4">
        <v>670</v>
      </c>
      <c r="H254" s="5">
        <v>250000</v>
      </c>
      <c r="I254" s="4" t="s">
        <v>84</v>
      </c>
      <c r="J254" s="4"/>
      <c r="K254" s="4"/>
    </row>
    <row r="255" spans="1:11" x14ac:dyDescent="0.3">
      <c r="A255" s="4" t="s">
        <v>389</v>
      </c>
      <c r="B255" s="4" t="s">
        <v>153</v>
      </c>
      <c r="C255" s="4" t="s">
        <v>35</v>
      </c>
      <c r="D255" s="4" t="s">
        <v>65</v>
      </c>
      <c r="E255" s="4" t="s">
        <v>14</v>
      </c>
      <c r="F255" s="5">
        <v>45000</v>
      </c>
      <c r="G255" s="4">
        <v>610</v>
      </c>
      <c r="H255" s="5">
        <v>150000</v>
      </c>
      <c r="I255" s="4" t="s">
        <v>84</v>
      </c>
      <c r="J255" s="4"/>
      <c r="K255" s="4"/>
    </row>
    <row r="256" spans="1:11" x14ac:dyDescent="0.3">
      <c r="A256" s="4" t="s">
        <v>307</v>
      </c>
      <c r="B256" s="4" t="s">
        <v>31</v>
      </c>
      <c r="C256" s="4" t="s">
        <v>26</v>
      </c>
      <c r="D256" s="4" t="s">
        <v>65</v>
      </c>
      <c r="E256" s="4" t="s">
        <v>14</v>
      </c>
      <c r="F256" s="5">
        <v>28000</v>
      </c>
      <c r="G256" s="4">
        <v>760</v>
      </c>
      <c r="H256" s="5">
        <v>300000</v>
      </c>
      <c r="I256" s="4" t="s">
        <v>84</v>
      </c>
      <c r="J256" s="4"/>
      <c r="K256" s="4"/>
    </row>
    <row r="257" spans="1:11" x14ac:dyDescent="0.3">
      <c r="A257" s="4" t="s">
        <v>342</v>
      </c>
      <c r="B257" s="4" t="s">
        <v>176</v>
      </c>
      <c r="C257" s="4" t="s">
        <v>43</v>
      </c>
      <c r="D257" s="4" t="s">
        <v>65</v>
      </c>
      <c r="E257" s="4" t="s">
        <v>28</v>
      </c>
      <c r="F257" s="5">
        <v>32000</v>
      </c>
      <c r="G257" s="4">
        <v>700</v>
      </c>
      <c r="H257" s="5">
        <v>50000</v>
      </c>
      <c r="I257" s="4" t="s">
        <v>84</v>
      </c>
      <c r="J257" s="4"/>
      <c r="K257" s="4"/>
    </row>
    <row r="258" spans="1:11" x14ac:dyDescent="0.3">
      <c r="A258" s="4" t="s">
        <v>290</v>
      </c>
      <c r="B258" s="4" t="s">
        <v>62</v>
      </c>
      <c r="C258" s="4" t="s">
        <v>53</v>
      </c>
      <c r="D258" s="4" t="s">
        <v>65</v>
      </c>
      <c r="E258" s="4" t="s">
        <v>28</v>
      </c>
      <c r="F258" s="5">
        <v>32000</v>
      </c>
      <c r="G258" s="4">
        <v>580</v>
      </c>
      <c r="H258" s="5">
        <v>50000</v>
      </c>
      <c r="I258" s="4" t="s">
        <v>84</v>
      </c>
      <c r="J258" s="4"/>
      <c r="K258" s="4"/>
    </row>
    <row r="259" spans="1:11" x14ac:dyDescent="0.3">
      <c r="A259" s="4" t="s">
        <v>255</v>
      </c>
      <c r="B259" s="4" t="s">
        <v>48</v>
      </c>
      <c r="C259" s="4" t="s">
        <v>26</v>
      </c>
      <c r="D259" s="4" t="s">
        <v>60</v>
      </c>
      <c r="E259" s="4" t="s">
        <v>14</v>
      </c>
      <c r="F259" s="5">
        <v>32000</v>
      </c>
      <c r="G259" s="4">
        <v>650</v>
      </c>
      <c r="H259" s="5">
        <v>75000</v>
      </c>
      <c r="I259" s="4" t="s">
        <v>84</v>
      </c>
      <c r="J259" s="4"/>
      <c r="K259" s="4"/>
    </row>
    <row r="260" spans="1:11" x14ac:dyDescent="0.3">
      <c r="A260" s="4" t="s">
        <v>137</v>
      </c>
      <c r="B260" s="4" t="s">
        <v>21</v>
      </c>
      <c r="C260" s="4" t="s">
        <v>35</v>
      </c>
      <c r="D260" s="4" t="s">
        <v>60</v>
      </c>
      <c r="E260" s="4" t="s">
        <v>28</v>
      </c>
      <c r="F260" s="5">
        <v>65000</v>
      </c>
      <c r="G260" s="4">
        <v>760</v>
      </c>
      <c r="H260" s="5">
        <v>300000</v>
      </c>
      <c r="I260" s="4" t="s">
        <v>84</v>
      </c>
      <c r="J260" s="4"/>
      <c r="K260" s="4"/>
    </row>
    <row r="261" spans="1:11" x14ac:dyDescent="0.3">
      <c r="A261" s="4" t="s">
        <v>297</v>
      </c>
      <c r="B261" s="4" t="s">
        <v>113</v>
      </c>
      <c r="C261" s="4" t="s">
        <v>26</v>
      </c>
      <c r="D261" s="4" t="s">
        <v>60</v>
      </c>
      <c r="E261" s="4" t="s">
        <v>28</v>
      </c>
      <c r="F261" s="5">
        <v>55000</v>
      </c>
      <c r="G261" s="4" t="s">
        <v>45</v>
      </c>
      <c r="H261" s="5">
        <v>50000</v>
      </c>
      <c r="I261" s="4" t="s">
        <v>84</v>
      </c>
      <c r="J261" s="4"/>
      <c r="K261" s="4"/>
    </row>
    <row r="262" spans="1:11" x14ac:dyDescent="0.3">
      <c r="A262" s="4" t="s">
        <v>82</v>
      </c>
      <c r="B262" s="4" t="s">
        <v>83</v>
      </c>
      <c r="C262" s="4" t="s">
        <v>12</v>
      </c>
      <c r="D262" s="4" t="s">
        <v>60</v>
      </c>
      <c r="E262" s="4" t="s">
        <v>28</v>
      </c>
      <c r="F262" s="5">
        <v>65000</v>
      </c>
      <c r="G262" s="4">
        <v>800</v>
      </c>
      <c r="H262" s="5">
        <v>200000</v>
      </c>
      <c r="I262" s="4" t="s">
        <v>84</v>
      </c>
      <c r="J262" s="4"/>
      <c r="K262" s="4"/>
    </row>
    <row r="263" spans="1:11" x14ac:dyDescent="0.3">
      <c r="A263" s="4" t="s">
        <v>209</v>
      </c>
      <c r="B263" s="4" t="s">
        <v>147</v>
      </c>
      <c r="C263" s="4" t="s">
        <v>53</v>
      </c>
      <c r="D263" s="4" t="s">
        <v>18</v>
      </c>
      <c r="E263" s="4" t="s">
        <v>28</v>
      </c>
      <c r="F263" s="5">
        <v>40000</v>
      </c>
      <c r="G263" s="4">
        <v>580</v>
      </c>
      <c r="H263" s="5">
        <v>150000</v>
      </c>
      <c r="I263" s="4" t="s">
        <v>39</v>
      </c>
      <c r="J263" s="4" t="s">
        <v>40</v>
      </c>
      <c r="K263" s="4"/>
    </row>
    <row r="264" spans="1:11" x14ac:dyDescent="0.3">
      <c r="A264" s="4" t="s">
        <v>343</v>
      </c>
      <c r="B264" s="4" t="s">
        <v>167</v>
      </c>
      <c r="C264" s="4" t="s">
        <v>22</v>
      </c>
      <c r="D264" s="4" t="s">
        <v>18</v>
      </c>
      <c r="E264" s="4" t="s">
        <v>28</v>
      </c>
      <c r="F264" s="5">
        <v>35000</v>
      </c>
      <c r="G264" s="4">
        <v>700</v>
      </c>
      <c r="H264" s="5">
        <v>50000</v>
      </c>
      <c r="I264" s="4" t="s">
        <v>39</v>
      </c>
      <c r="J264" s="4" t="s">
        <v>28</v>
      </c>
      <c r="K264" s="4"/>
    </row>
    <row r="265" spans="1:11" x14ac:dyDescent="0.3">
      <c r="A265" s="4" t="s">
        <v>41</v>
      </c>
      <c r="B265" s="4" t="s">
        <v>42</v>
      </c>
      <c r="C265" s="4" t="s">
        <v>43</v>
      </c>
      <c r="D265" s="4" t="s">
        <v>44</v>
      </c>
      <c r="E265" s="4" t="s">
        <v>14</v>
      </c>
      <c r="F265" s="5">
        <v>18000</v>
      </c>
      <c r="G265" s="4" t="s">
        <v>45</v>
      </c>
      <c r="H265" s="5">
        <v>300000</v>
      </c>
      <c r="I265" s="4" t="s">
        <v>39</v>
      </c>
      <c r="J265" s="4" t="s">
        <v>46</v>
      </c>
      <c r="K265" s="4"/>
    </row>
    <row r="266" spans="1:11" x14ac:dyDescent="0.3">
      <c r="A266" s="4" t="s">
        <v>114</v>
      </c>
      <c r="B266" s="4" t="s">
        <v>11</v>
      </c>
      <c r="C266" s="4" t="s">
        <v>26</v>
      </c>
      <c r="D266" s="4" t="s">
        <v>44</v>
      </c>
      <c r="E266" s="4" t="s">
        <v>14</v>
      </c>
      <c r="F266" s="5">
        <v>15000</v>
      </c>
      <c r="G266" s="4">
        <v>740</v>
      </c>
      <c r="H266" s="5">
        <v>200000</v>
      </c>
      <c r="I266" s="4" t="s">
        <v>39</v>
      </c>
      <c r="J266" s="4" t="s">
        <v>46</v>
      </c>
      <c r="K266" s="4"/>
    </row>
    <row r="267" spans="1:11" x14ac:dyDescent="0.3">
      <c r="A267" s="4" t="s">
        <v>338</v>
      </c>
      <c r="B267" s="4" t="s">
        <v>136</v>
      </c>
      <c r="C267" s="4" t="s">
        <v>26</v>
      </c>
      <c r="D267" s="4" t="s">
        <v>44</v>
      </c>
      <c r="E267" s="4" t="s">
        <v>28</v>
      </c>
      <c r="F267" s="5">
        <v>15000</v>
      </c>
      <c r="G267" s="4">
        <v>700</v>
      </c>
      <c r="H267" s="5">
        <v>150000</v>
      </c>
      <c r="I267" s="4" t="s">
        <v>39</v>
      </c>
      <c r="J267" s="4" t="s">
        <v>46</v>
      </c>
      <c r="K267" s="4"/>
    </row>
    <row r="268" spans="1:11" x14ac:dyDescent="0.3">
      <c r="A268" s="4" t="s">
        <v>211</v>
      </c>
      <c r="B268" s="4" t="s">
        <v>142</v>
      </c>
      <c r="C268" s="4" t="s">
        <v>43</v>
      </c>
      <c r="D268" s="4" t="s">
        <v>92</v>
      </c>
      <c r="E268" s="4" t="s">
        <v>14</v>
      </c>
      <c r="F268" s="5">
        <v>65000</v>
      </c>
      <c r="G268" s="4">
        <v>670</v>
      </c>
      <c r="H268" s="5">
        <v>150000</v>
      </c>
      <c r="I268" s="4" t="s">
        <v>39</v>
      </c>
      <c r="J268" s="4" t="s">
        <v>212</v>
      </c>
      <c r="K268" s="4"/>
    </row>
    <row r="269" spans="1:11" x14ac:dyDescent="0.3">
      <c r="A269" s="4" t="s">
        <v>299</v>
      </c>
      <c r="B269" s="4" t="s">
        <v>300</v>
      </c>
      <c r="C269" s="4" t="s">
        <v>35</v>
      </c>
      <c r="D269" s="4" t="s">
        <v>92</v>
      </c>
      <c r="E269" s="4" t="s">
        <v>28</v>
      </c>
      <c r="F269" s="5">
        <v>40000</v>
      </c>
      <c r="G269" s="4">
        <v>780</v>
      </c>
      <c r="H269" s="5">
        <v>150000</v>
      </c>
      <c r="I269" s="4" t="s">
        <v>39</v>
      </c>
      <c r="J269" s="4" t="s">
        <v>95</v>
      </c>
      <c r="K269" s="4"/>
    </row>
    <row r="270" spans="1:11" x14ac:dyDescent="0.3">
      <c r="A270" s="4" t="s">
        <v>326</v>
      </c>
      <c r="B270" s="4" t="s">
        <v>48</v>
      </c>
      <c r="C270" s="4" t="s">
        <v>22</v>
      </c>
      <c r="D270" s="4" t="s">
        <v>92</v>
      </c>
      <c r="E270" s="4" t="s">
        <v>28</v>
      </c>
      <c r="F270" s="5">
        <v>22000</v>
      </c>
      <c r="G270" s="4">
        <v>800</v>
      </c>
      <c r="H270" s="5">
        <v>200000</v>
      </c>
      <c r="I270" s="4" t="s">
        <v>39</v>
      </c>
      <c r="J270" s="4" t="s">
        <v>46</v>
      </c>
      <c r="K270" s="4"/>
    </row>
    <row r="271" spans="1:11" x14ac:dyDescent="0.3">
      <c r="A271" s="4" t="s">
        <v>138</v>
      </c>
      <c r="B271" s="4" t="s">
        <v>88</v>
      </c>
      <c r="C271" s="4" t="s">
        <v>53</v>
      </c>
      <c r="D271" s="4" t="s">
        <v>70</v>
      </c>
      <c r="E271" s="4" t="s">
        <v>14</v>
      </c>
      <c r="F271" s="5">
        <v>28000</v>
      </c>
      <c r="G271" s="4">
        <v>610</v>
      </c>
      <c r="H271" s="5">
        <v>100000</v>
      </c>
      <c r="I271" s="4" t="s">
        <v>39</v>
      </c>
      <c r="J271" s="4" t="s">
        <v>40</v>
      </c>
      <c r="K271" s="4"/>
    </row>
    <row r="272" spans="1:11" x14ac:dyDescent="0.3">
      <c r="A272" s="4" t="s">
        <v>224</v>
      </c>
      <c r="B272" s="4" t="s">
        <v>21</v>
      </c>
      <c r="C272" s="4" t="s">
        <v>53</v>
      </c>
      <c r="D272" s="4" t="s">
        <v>70</v>
      </c>
      <c r="E272" s="4" t="s">
        <v>28</v>
      </c>
      <c r="F272" s="5">
        <v>28000</v>
      </c>
      <c r="G272" s="4">
        <v>780</v>
      </c>
      <c r="H272" s="5">
        <v>150000</v>
      </c>
      <c r="I272" s="4" t="s">
        <v>39</v>
      </c>
      <c r="J272" s="4" t="s">
        <v>212</v>
      </c>
      <c r="K272" s="4"/>
    </row>
    <row r="273" spans="1:11" x14ac:dyDescent="0.3">
      <c r="A273" s="4" t="s">
        <v>242</v>
      </c>
      <c r="B273" s="4" t="s">
        <v>81</v>
      </c>
      <c r="C273" s="4" t="s">
        <v>12</v>
      </c>
      <c r="D273" s="4" t="s">
        <v>70</v>
      </c>
      <c r="E273" s="4" t="s">
        <v>28</v>
      </c>
      <c r="F273" s="5">
        <v>28000</v>
      </c>
      <c r="G273" s="4">
        <v>650</v>
      </c>
      <c r="H273" s="5">
        <v>250000</v>
      </c>
      <c r="I273" s="4" t="s">
        <v>39</v>
      </c>
      <c r="J273" s="4" t="s">
        <v>28</v>
      </c>
      <c r="K273" s="4"/>
    </row>
    <row r="274" spans="1:11" x14ac:dyDescent="0.3">
      <c r="A274" s="4" t="s">
        <v>175</v>
      </c>
      <c r="B274" s="4" t="s">
        <v>176</v>
      </c>
      <c r="C274" s="4" t="s">
        <v>43</v>
      </c>
      <c r="D274" s="4" t="s">
        <v>13</v>
      </c>
      <c r="E274" s="4" t="s">
        <v>14</v>
      </c>
      <c r="F274" s="5">
        <v>28000</v>
      </c>
      <c r="G274" s="4">
        <v>580</v>
      </c>
      <c r="H274" s="5">
        <v>100000</v>
      </c>
      <c r="I274" s="4" t="s">
        <v>39</v>
      </c>
      <c r="J274" s="4" t="s">
        <v>40</v>
      </c>
      <c r="K274" s="4"/>
    </row>
    <row r="275" spans="1:11" x14ac:dyDescent="0.3">
      <c r="A275" s="4" t="s">
        <v>258</v>
      </c>
      <c r="B275" s="4" t="s">
        <v>188</v>
      </c>
      <c r="C275" s="4" t="s">
        <v>26</v>
      </c>
      <c r="D275" s="4" t="s">
        <v>13</v>
      </c>
      <c r="E275" s="4" t="s">
        <v>14</v>
      </c>
      <c r="F275" s="5">
        <v>65000</v>
      </c>
      <c r="G275" s="4">
        <v>800</v>
      </c>
      <c r="H275" s="5">
        <v>50000</v>
      </c>
      <c r="I275" s="4" t="s">
        <v>39</v>
      </c>
      <c r="J275" s="4" t="s">
        <v>95</v>
      </c>
      <c r="K275" s="4"/>
    </row>
    <row r="276" spans="1:11" x14ac:dyDescent="0.3">
      <c r="A276" s="4" t="s">
        <v>154</v>
      </c>
      <c r="B276" s="4" t="s">
        <v>94</v>
      </c>
      <c r="C276" s="4" t="s">
        <v>43</v>
      </c>
      <c r="D276" s="4" t="s">
        <v>13</v>
      </c>
      <c r="E276" s="4" t="s">
        <v>28</v>
      </c>
      <c r="F276" s="5">
        <v>35000</v>
      </c>
      <c r="G276" s="4">
        <v>800</v>
      </c>
      <c r="H276" s="5">
        <v>150000</v>
      </c>
      <c r="I276" s="4" t="s">
        <v>39</v>
      </c>
      <c r="J276" s="4" t="s">
        <v>67</v>
      </c>
      <c r="K276" s="4"/>
    </row>
    <row r="277" spans="1:11" x14ac:dyDescent="0.3">
      <c r="A277" s="4" t="s">
        <v>111</v>
      </c>
      <c r="B277" s="4" t="s">
        <v>17</v>
      </c>
      <c r="C277" s="4" t="s">
        <v>43</v>
      </c>
      <c r="D277" s="4" t="s">
        <v>13</v>
      </c>
      <c r="E277" s="4" t="s">
        <v>28</v>
      </c>
      <c r="F277" s="5">
        <v>65000</v>
      </c>
      <c r="G277" s="4">
        <v>780</v>
      </c>
      <c r="H277" s="5">
        <v>100000</v>
      </c>
      <c r="I277" s="4" t="s">
        <v>39</v>
      </c>
      <c r="J277" s="4" t="s">
        <v>28</v>
      </c>
      <c r="K277" s="4"/>
    </row>
    <row r="278" spans="1:11" x14ac:dyDescent="0.3">
      <c r="A278" s="4" t="s">
        <v>145</v>
      </c>
      <c r="B278" s="4" t="s">
        <v>42</v>
      </c>
      <c r="C278" s="4" t="s">
        <v>53</v>
      </c>
      <c r="D278" s="4" t="s">
        <v>13</v>
      </c>
      <c r="E278" s="4" t="s">
        <v>28</v>
      </c>
      <c r="F278" s="5">
        <v>45000</v>
      </c>
      <c r="G278" s="4">
        <v>670</v>
      </c>
      <c r="H278" s="5">
        <v>250000</v>
      </c>
      <c r="I278" s="4" t="s">
        <v>39</v>
      </c>
      <c r="J278" s="4" t="s">
        <v>28</v>
      </c>
      <c r="K278" s="4"/>
    </row>
    <row r="279" spans="1:11" x14ac:dyDescent="0.3">
      <c r="A279" s="4" t="s">
        <v>271</v>
      </c>
      <c r="B279" s="4" t="s">
        <v>231</v>
      </c>
      <c r="C279" s="4" t="s">
        <v>26</v>
      </c>
      <c r="D279" s="4" t="s">
        <v>13</v>
      </c>
      <c r="E279" s="4" t="s">
        <v>28</v>
      </c>
      <c r="F279" s="5">
        <v>35000</v>
      </c>
      <c r="G279" s="4">
        <v>700</v>
      </c>
      <c r="H279" s="5">
        <v>75000</v>
      </c>
      <c r="I279" s="4" t="s">
        <v>39</v>
      </c>
      <c r="J279" s="4" t="s">
        <v>28</v>
      </c>
      <c r="K279" s="4"/>
    </row>
    <row r="280" spans="1:11" x14ac:dyDescent="0.3">
      <c r="A280" s="4" t="s">
        <v>66</v>
      </c>
      <c r="B280" s="4" t="s">
        <v>34</v>
      </c>
      <c r="C280" s="4" t="s">
        <v>22</v>
      </c>
      <c r="D280" s="4" t="s">
        <v>32</v>
      </c>
      <c r="E280" s="4" t="s">
        <v>14</v>
      </c>
      <c r="F280" s="5">
        <v>35000</v>
      </c>
      <c r="G280" s="4">
        <v>720</v>
      </c>
      <c r="H280" s="5">
        <v>200000</v>
      </c>
      <c r="I280" s="4" t="s">
        <v>39</v>
      </c>
      <c r="J280" s="4" t="s">
        <v>67</v>
      </c>
      <c r="K280" s="4"/>
    </row>
    <row r="281" spans="1:11" x14ac:dyDescent="0.3">
      <c r="A281" s="4" t="s">
        <v>198</v>
      </c>
      <c r="B281" s="4" t="s">
        <v>199</v>
      </c>
      <c r="C281" s="4" t="s">
        <v>35</v>
      </c>
      <c r="D281" s="4" t="s">
        <v>32</v>
      </c>
      <c r="E281" s="4" t="s">
        <v>28</v>
      </c>
      <c r="F281" s="5">
        <v>18000</v>
      </c>
      <c r="G281" s="4">
        <v>780</v>
      </c>
      <c r="H281" s="5">
        <v>50000</v>
      </c>
      <c r="I281" s="4" t="s">
        <v>39</v>
      </c>
      <c r="J281" s="4" t="s">
        <v>46</v>
      </c>
      <c r="K281" s="4"/>
    </row>
    <row r="282" spans="1:11" x14ac:dyDescent="0.3">
      <c r="A282" s="4" t="s">
        <v>366</v>
      </c>
      <c r="B282" s="4" t="s">
        <v>121</v>
      </c>
      <c r="C282" s="4" t="s">
        <v>35</v>
      </c>
      <c r="D282" s="4" t="s">
        <v>32</v>
      </c>
      <c r="E282" s="4" t="s">
        <v>28</v>
      </c>
      <c r="F282" s="5">
        <v>25000</v>
      </c>
      <c r="G282" s="4">
        <v>650</v>
      </c>
      <c r="H282" s="5">
        <v>100000</v>
      </c>
      <c r="I282" s="4" t="s">
        <v>39</v>
      </c>
      <c r="J282" s="4" t="s">
        <v>28</v>
      </c>
      <c r="K282" s="4"/>
    </row>
    <row r="283" spans="1:11" x14ac:dyDescent="0.3">
      <c r="A283" s="4" t="s">
        <v>375</v>
      </c>
      <c r="B283" s="4" t="s">
        <v>188</v>
      </c>
      <c r="C283" s="4" t="s">
        <v>35</v>
      </c>
      <c r="D283" s="4" t="s">
        <v>32</v>
      </c>
      <c r="E283" s="4" t="s">
        <v>28</v>
      </c>
      <c r="F283" s="5">
        <v>65000</v>
      </c>
      <c r="G283" s="4" t="s">
        <v>45</v>
      </c>
      <c r="H283" s="5">
        <v>250000</v>
      </c>
      <c r="I283" s="4" t="s">
        <v>39</v>
      </c>
      <c r="J283" s="4" t="s">
        <v>28</v>
      </c>
      <c r="K283" s="4"/>
    </row>
    <row r="284" spans="1:11" x14ac:dyDescent="0.3">
      <c r="A284" s="4" t="s">
        <v>177</v>
      </c>
      <c r="B284" s="4" t="s">
        <v>37</v>
      </c>
      <c r="C284" s="4" t="s">
        <v>12</v>
      </c>
      <c r="D284" s="4" t="s">
        <v>32</v>
      </c>
      <c r="E284" s="4" t="s">
        <v>28</v>
      </c>
      <c r="F284" s="5">
        <v>25000</v>
      </c>
      <c r="G284" s="4">
        <v>580</v>
      </c>
      <c r="H284" s="5">
        <v>300000</v>
      </c>
      <c r="I284" s="4" t="s">
        <v>39</v>
      </c>
      <c r="J284" s="4" t="s">
        <v>40</v>
      </c>
      <c r="K284" s="4"/>
    </row>
    <row r="285" spans="1:11" x14ac:dyDescent="0.3">
      <c r="A285" s="4" t="s">
        <v>36</v>
      </c>
      <c r="B285" s="4" t="s">
        <v>37</v>
      </c>
      <c r="C285" s="4" t="s">
        <v>35</v>
      </c>
      <c r="D285" s="4" t="s">
        <v>38</v>
      </c>
      <c r="E285" s="4" t="s">
        <v>14</v>
      </c>
      <c r="F285" s="5">
        <v>35000</v>
      </c>
      <c r="G285" s="4">
        <v>580</v>
      </c>
      <c r="H285" s="5">
        <v>300000</v>
      </c>
      <c r="I285" s="4" t="s">
        <v>39</v>
      </c>
      <c r="J285" s="4" t="s">
        <v>40</v>
      </c>
      <c r="K285" s="4"/>
    </row>
    <row r="286" spans="1:11" x14ac:dyDescent="0.3">
      <c r="A286" s="4" t="s">
        <v>322</v>
      </c>
      <c r="B286" s="4" t="s">
        <v>34</v>
      </c>
      <c r="C286" s="4" t="s">
        <v>53</v>
      </c>
      <c r="D286" s="4" t="s">
        <v>38</v>
      </c>
      <c r="E286" s="4" t="s">
        <v>14</v>
      </c>
      <c r="F286" s="5">
        <v>40000</v>
      </c>
      <c r="G286" s="4">
        <v>740</v>
      </c>
      <c r="H286" s="5">
        <v>50000</v>
      </c>
      <c r="I286" s="4" t="s">
        <v>39</v>
      </c>
      <c r="J286" s="4" t="s">
        <v>95</v>
      </c>
      <c r="K286" s="4"/>
    </row>
    <row r="287" spans="1:11" x14ac:dyDescent="0.3">
      <c r="A287" s="4" t="s">
        <v>313</v>
      </c>
      <c r="B287" s="4" t="s">
        <v>144</v>
      </c>
      <c r="C287" s="4" t="s">
        <v>22</v>
      </c>
      <c r="D287" s="4" t="s">
        <v>38</v>
      </c>
      <c r="E287" s="4" t="s">
        <v>14</v>
      </c>
      <c r="F287" s="5">
        <v>35000</v>
      </c>
      <c r="G287" s="4">
        <v>700</v>
      </c>
      <c r="H287" s="5">
        <v>150000</v>
      </c>
      <c r="I287" s="4" t="s">
        <v>39</v>
      </c>
      <c r="J287" s="4" t="s">
        <v>212</v>
      </c>
      <c r="K287" s="4"/>
    </row>
    <row r="288" spans="1:11" x14ac:dyDescent="0.3">
      <c r="A288" s="4" t="s">
        <v>361</v>
      </c>
      <c r="B288" s="4" t="s">
        <v>58</v>
      </c>
      <c r="C288" s="4" t="s">
        <v>26</v>
      </c>
      <c r="D288" s="4" t="s">
        <v>38</v>
      </c>
      <c r="E288" s="4" t="s">
        <v>28</v>
      </c>
      <c r="F288" s="5">
        <v>25000</v>
      </c>
      <c r="G288" s="4">
        <v>700</v>
      </c>
      <c r="H288" s="5">
        <v>250000</v>
      </c>
      <c r="I288" s="4" t="s">
        <v>39</v>
      </c>
      <c r="J288" s="4" t="s">
        <v>28</v>
      </c>
      <c r="K288" s="4"/>
    </row>
    <row r="289" spans="1:11" x14ac:dyDescent="0.3">
      <c r="A289" s="4" t="s">
        <v>349</v>
      </c>
      <c r="B289" s="4" t="s">
        <v>103</v>
      </c>
      <c r="C289" s="4" t="s">
        <v>22</v>
      </c>
      <c r="D289" s="4" t="s">
        <v>27</v>
      </c>
      <c r="E289" s="4" t="s">
        <v>28</v>
      </c>
      <c r="F289" s="5">
        <v>15000</v>
      </c>
      <c r="G289" s="4">
        <v>700</v>
      </c>
      <c r="H289" s="5">
        <v>100000</v>
      </c>
      <c r="I289" s="4" t="s">
        <v>39</v>
      </c>
      <c r="J289" s="4" t="s">
        <v>46</v>
      </c>
      <c r="K289" s="4"/>
    </row>
    <row r="290" spans="1:11" x14ac:dyDescent="0.3">
      <c r="A290" s="4" t="s">
        <v>390</v>
      </c>
      <c r="B290" s="4" t="s">
        <v>176</v>
      </c>
      <c r="C290" s="4" t="s">
        <v>12</v>
      </c>
      <c r="D290" s="4" t="s">
        <v>27</v>
      </c>
      <c r="E290" s="4" t="s">
        <v>28</v>
      </c>
      <c r="F290" s="5">
        <v>32000</v>
      </c>
      <c r="G290" s="4">
        <v>670</v>
      </c>
      <c r="H290" s="5">
        <v>250000</v>
      </c>
      <c r="I290" s="4" t="s">
        <v>39</v>
      </c>
      <c r="J290" s="4" t="s">
        <v>95</v>
      </c>
      <c r="K290" s="4"/>
    </row>
    <row r="291" spans="1:11" x14ac:dyDescent="0.3">
      <c r="A291" s="4" t="s">
        <v>236</v>
      </c>
      <c r="B291" s="4" t="s">
        <v>144</v>
      </c>
      <c r="C291" s="4" t="s">
        <v>43</v>
      </c>
      <c r="D291" s="4" t="s">
        <v>65</v>
      </c>
      <c r="E291" s="4" t="s">
        <v>14</v>
      </c>
      <c r="F291" s="5">
        <v>22000</v>
      </c>
      <c r="G291" s="4">
        <v>580</v>
      </c>
      <c r="H291" s="5">
        <v>150000</v>
      </c>
      <c r="I291" s="4" t="s">
        <v>39</v>
      </c>
      <c r="J291" s="4" t="s">
        <v>46</v>
      </c>
      <c r="K291" s="4"/>
    </row>
    <row r="292" spans="1:11" x14ac:dyDescent="0.3">
      <c r="A292" s="4" t="s">
        <v>267</v>
      </c>
      <c r="B292" s="4" t="s">
        <v>125</v>
      </c>
      <c r="C292" s="4" t="s">
        <v>43</v>
      </c>
      <c r="D292" s="4" t="s">
        <v>65</v>
      </c>
      <c r="E292" s="4" t="s">
        <v>14</v>
      </c>
      <c r="F292" s="5">
        <v>22000</v>
      </c>
      <c r="G292" s="4">
        <v>670</v>
      </c>
      <c r="H292" s="5">
        <v>200000</v>
      </c>
      <c r="I292" s="4" t="s">
        <v>39</v>
      </c>
      <c r="J292" s="4" t="s">
        <v>46</v>
      </c>
      <c r="K292" s="4"/>
    </row>
    <row r="293" spans="1:11" x14ac:dyDescent="0.3">
      <c r="A293" s="4" t="s">
        <v>273</v>
      </c>
      <c r="B293" s="4" t="s">
        <v>134</v>
      </c>
      <c r="C293" s="4" t="s">
        <v>53</v>
      </c>
      <c r="D293" s="4" t="s">
        <v>65</v>
      </c>
      <c r="E293" s="4" t="s">
        <v>14</v>
      </c>
      <c r="F293" s="5">
        <v>55000</v>
      </c>
      <c r="G293" s="4">
        <v>760</v>
      </c>
      <c r="H293" s="5">
        <v>150000</v>
      </c>
      <c r="I293" s="4" t="s">
        <v>39</v>
      </c>
      <c r="J293" s="4" t="s">
        <v>95</v>
      </c>
      <c r="K293" s="4"/>
    </row>
    <row r="294" spans="1:11" x14ac:dyDescent="0.3">
      <c r="A294" s="4" t="s">
        <v>395</v>
      </c>
      <c r="B294" s="4" t="s">
        <v>144</v>
      </c>
      <c r="C294" s="4" t="s">
        <v>53</v>
      </c>
      <c r="D294" s="4" t="s">
        <v>65</v>
      </c>
      <c r="E294" s="4" t="s">
        <v>14</v>
      </c>
      <c r="F294" s="5">
        <v>32000</v>
      </c>
      <c r="G294" s="4">
        <v>670</v>
      </c>
      <c r="H294" s="5">
        <v>75000</v>
      </c>
      <c r="I294" s="4" t="s">
        <v>39</v>
      </c>
      <c r="J294" s="4" t="s">
        <v>212</v>
      </c>
      <c r="K294" s="4"/>
    </row>
    <row r="295" spans="1:11" x14ac:dyDescent="0.3">
      <c r="A295" s="4" t="s">
        <v>150</v>
      </c>
      <c r="B295" s="4" t="s">
        <v>151</v>
      </c>
      <c r="C295" s="4" t="s">
        <v>26</v>
      </c>
      <c r="D295" s="4" t="s">
        <v>65</v>
      </c>
      <c r="E295" s="4" t="s">
        <v>14</v>
      </c>
      <c r="F295" s="5">
        <v>28000</v>
      </c>
      <c r="G295" s="4">
        <v>760</v>
      </c>
      <c r="H295" s="5">
        <v>100000</v>
      </c>
      <c r="I295" s="4" t="s">
        <v>39</v>
      </c>
      <c r="J295" s="4" t="s">
        <v>90</v>
      </c>
      <c r="K295" s="4"/>
    </row>
    <row r="296" spans="1:11" x14ac:dyDescent="0.3">
      <c r="A296" s="4" t="s">
        <v>340</v>
      </c>
      <c r="B296" s="4" t="s">
        <v>88</v>
      </c>
      <c r="C296" s="4" t="s">
        <v>12</v>
      </c>
      <c r="D296" s="4" t="s">
        <v>65</v>
      </c>
      <c r="E296" s="4" t="s">
        <v>14</v>
      </c>
      <c r="F296" s="5">
        <v>22000</v>
      </c>
      <c r="G296" s="4">
        <v>780</v>
      </c>
      <c r="H296" s="5">
        <v>150000</v>
      </c>
      <c r="I296" s="4" t="s">
        <v>39</v>
      </c>
      <c r="J296" s="4" t="s">
        <v>46</v>
      </c>
      <c r="K296" s="4"/>
    </row>
    <row r="297" spans="1:11" x14ac:dyDescent="0.3">
      <c r="A297" s="4" t="s">
        <v>124</v>
      </c>
      <c r="B297" s="4" t="s">
        <v>125</v>
      </c>
      <c r="C297" s="4" t="s">
        <v>53</v>
      </c>
      <c r="D297" s="4" t="s">
        <v>65</v>
      </c>
      <c r="E297" s="4" t="s">
        <v>28</v>
      </c>
      <c r="F297" s="5">
        <v>22000</v>
      </c>
      <c r="G297" s="4">
        <v>740</v>
      </c>
      <c r="H297" s="5">
        <v>150000</v>
      </c>
      <c r="I297" s="4" t="s">
        <v>39</v>
      </c>
      <c r="J297" s="4" t="s">
        <v>46</v>
      </c>
      <c r="K297" s="4"/>
    </row>
    <row r="298" spans="1:11" x14ac:dyDescent="0.3">
      <c r="A298" s="4" t="s">
        <v>220</v>
      </c>
      <c r="B298" s="4" t="s">
        <v>140</v>
      </c>
      <c r="C298" s="4" t="s">
        <v>22</v>
      </c>
      <c r="D298" s="4" t="s">
        <v>65</v>
      </c>
      <c r="E298" s="4" t="s">
        <v>28</v>
      </c>
      <c r="F298" s="5">
        <v>45000</v>
      </c>
      <c r="G298" s="4" t="s">
        <v>45</v>
      </c>
      <c r="H298" s="5">
        <v>300000</v>
      </c>
      <c r="I298" s="4" t="s">
        <v>39</v>
      </c>
      <c r="J298" s="4" t="s">
        <v>28</v>
      </c>
      <c r="K298" s="4"/>
    </row>
    <row r="299" spans="1:11" x14ac:dyDescent="0.3">
      <c r="A299" s="4" t="s">
        <v>196</v>
      </c>
      <c r="B299" s="4" t="s">
        <v>153</v>
      </c>
      <c r="C299" s="4" t="s">
        <v>12</v>
      </c>
      <c r="D299" s="4" t="s">
        <v>65</v>
      </c>
      <c r="E299" s="4" t="s">
        <v>28</v>
      </c>
      <c r="F299" s="5">
        <v>18000</v>
      </c>
      <c r="G299" s="4" t="s">
        <v>45</v>
      </c>
      <c r="H299" s="5">
        <v>150000</v>
      </c>
      <c r="I299" s="4" t="s">
        <v>39</v>
      </c>
      <c r="J299" s="4" t="s">
        <v>46</v>
      </c>
      <c r="K299" s="4"/>
    </row>
    <row r="300" spans="1:11" x14ac:dyDescent="0.3">
      <c r="A300" s="4" t="s">
        <v>238</v>
      </c>
      <c r="B300" s="4" t="s">
        <v>83</v>
      </c>
      <c r="C300" s="4" t="s">
        <v>26</v>
      </c>
      <c r="D300" s="4" t="s">
        <v>60</v>
      </c>
      <c r="E300" s="4" t="s">
        <v>14</v>
      </c>
      <c r="F300" s="5">
        <v>40000</v>
      </c>
      <c r="G300" s="4">
        <v>670</v>
      </c>
      <c r="H300" s="5">
        <v>50000</v>
      </c>
      <c r="I300" s="4" t="s">
        <v>39</v>
      </c>
      <c r="J300" s="4" t="s">
        <v>212</v>
      </c>
      <c r="K300" s="4"/>
    </row>
    <row r="301" spans="1:11" x14ac:dyDescent="0.3">
      <c r="A301" s="6" t="s">
        <v>184</v>
      </c>
      <c r="B301" s="6" t="s">
        <v>121</v>
      </c>
      <c r="C301" s="6" t="s">
        <v>35</v>
      </c>
      <c r="D301" s="6" t="s">
        <v>60</v>
      </c>
      <c r="E301" s="6" t="s">
        <v>28</v>
      </c>
      <c r="F301" s="7">
        <v>25000</v>
      </c>
      <c r="G301" s="6">
        <v>740</v>
      </c>
      <c r="H301" s="7">
        <v>50000</v>
      </c>
      <c r="I301" s="6" t="s">
        <v>39</v>
      </c>
      <c r="J301" s="6" t="s">
        <v>50</v>
      </c>
      <c r="K301" s="4"/>
    </row>
    <row r="302" spans="1:11" x14ac:dyDescent="0.3">
      <c r="A302" s="6"/>
      <c r="B302" s="6"/>
      <c r="C302" s="6"/>
      <c r="D302" s="6"/>
      <c r="E302" s="6"/>
      <c r="F302" s="7"/>
      <c r="G302" s="6"/>
      <c r="H302" s="7"/>
      <c r="I302" s="6"/>
      <c r="J302" s="6"/>
      <c r="K302" s="6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opLeftCell="A2" zoomScale="103" zoomScaleNormal="100" workbookViewId="0">
      <selection sqref="A1:F1"/>
    </sheetView>
  </sheetViews>
  <sheetFormatPr defaultColWidth="8.6640625" defaultRowHeight="14.4" x14ac:dyDescent="0.3"/>
  <cols>
    <col min="1" max="1" width="95" customWidth="1"/>
  </cols>
  <sheetData>
    <row r="1" spans="1:6" ht="17.399999999999999" x14ac:dyDescent="0.3">
      <c r="A1" s="28" t="s">
        <v>398</v>
      </c>
      <c r="B1" s="28"/>
      <c r="C1" s="28"/>
      <c r="D1" s="28"/>
      <c r="E1" s="28"/>
      <c r="F1" s="28"/>
    </row>
    <row r="2" spans="1:6" x14ac:dyDescent="0.3">
      <c r="A2" s="29" t="s">
        <v>399</v>
      </c>
      <c r="B2" s="29"/>
      <c r="C2" s="29"/>
      <c r="D2" s="29"/>
      <c r="E2" s="29"/>
      <c r="F2" s="29"/>
    </row>
    <row r="4" spans="1:6" ht="18" customHeight="1" x14ac:dyDescent="0.3">
      <c r="A4" s="1" t="s">
        <v>400</v>
      </c>
    </row>
    <row r="5" spans="1:6" ht="18" customHeight="1" x14ac:dyDescent="0.3">
      <c r="A5" s="27" t="s">
        <v>401</v>
      </c>
      <c r="B5" s="27"/>
      <c r="C5" s="27"/>
      <c r="D5" s="27"/>
      <c r="E5" s="27"/>
      <c r="F5" s="27"/>
    </row>
    <row r="6" spans="1:6" ht="18" customHeight="1" x14ac:dyDescent="0.3"/>
    <row r="7" spans="1:6" ht="18" customHeight="1" x14ac:dyDescent="0.3">
      <c r="A7" s="1" t="s">
        <v>402</v>
      </c>
    </row>
    <row r="8" spans="1:6" ht="18" customHeight="1" x14ac:dyDescent="0.3">
      <c r="A8" s="27" t="s">
        <v>403</v>
      </c>
      <c r="B8" s="27"/>
      <c r="C8" s="27"/>
      <c r="D8" s="27"/>
      <c r="E8" s="27"/>
      <c r="F8" s="27"/>
    </row>
    <row r="9" spans="1:6" ht="18" customHeight="1" x14ac:dyDescent="0.3"/>
    <row r="10" spans="1:6" ht="18" customHeight="1" x14ac:dyDescent="0.3">
      <c r="A10" s="1" t="s">
        <v>404</v>
      </c>
    </row>
    <row r="11" spans="1:6" ht="18" customHeight="1" x14ac:dyDescent="0.3">
      <c r="A11" s="27" t="s">
        <v>405</v>
      </c>
      <c r="B11" s="27"/>
      <c r="C11" s="27"/>
      <c r="D11" s="27"/>
      <c r="E11" s="27"/>
      <c r="F11" s="27"/>
    </row>
    <row r="12" spans="1:6" ht="18" customHeight="1" x14ac:dyDescent="0.3"/>
    <row r="13" spans="1:6" ht="18" customHeight="1" x14ac:dyDescent="0.3">
      <c r="A13" s="1" t="s">
        <v>406</v>
      </c>
    </row>
    <row r="14" spans="1:6" ht="18" customHeight="1" x14ac:dyDescent="0.3">
      <c r="A14" s="27" t="s">
        <v>407</v>
      </c>
      <c r="B14" s="27"/>
      <c r="C14" s="27"/>
      <c r="D14" s="27"/>
      <c r="E14" s="27"/>
      <c r="F14" s="27"/>
    </row>
    <row r="15" spans="1:6" ht="18" customHeight="1" x14ac:dyDescent="0.3"/>
    <row r="16" spans="1:6" ht="18" customHeight="1" x14ac:dyDescent="0.3">
      <c r="A16" s="1" t="s">
        <v>408</v>
      </c>
    </row>
    <row r="17" spans="1:6" ht="18" customHeight="1" x14ac:dyDescent="0.3">
      <c r="A17" s="27" t="s">
        <v>409</v>
      </c>
      <c r="B17" s="27"/>
      <c r="C17" s="27"/>
      <c r="D17" s="27"/>
      <c r="E17" s="27"/>
      <c r="F17" s="27"/>
    </row>
    <row r="18" spans="1:6" ht="18" customHeight="1" x14ac:dyDescent="0.3"/>
    <row r="19" spans="1:6" ht="18" customHeight="1" x14ac:dyDescent="0.3">
      <c r="A19" s="1" t="s">
        <v>410</v>
      </c>
    </row>
    <row r="20" spans="1:6" ht="18" customHeight="1" x14ac:dyDescent="0.3">
      <c r="A20" s="27" t="s">
        <v>411</v>
      </c>
      <c r="B20" s="27"/>
      <c r="C20" s="27"/>
      <c r="D20" s="27"/>
      <c r="E20" s="27"/>
      <c r="F20" s="27"/>
    </row>
    <row r="21" spans="1:6" ht="18" customHeight="1" x14ac:dyDescent="0.3"/>
  </sheetData>
  <mergeCells count="8">
    <mergeCell ref="A14:F14"/>
    <mergeCell ref="A17:F17"/>
    <mergeCell ref="A20:F20"/>
    <mergeCell ref="A1:F1"/>
    <mergeCell ref="A2:F2"/>
    <mergeCell ref="A5:F5"/>
    <mergeCell ref="A8:F8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804B-190A-4D2C-89C9-3454B8014DD2}">
  <dimension ref="B1:AB53"/>
  <sheetViews>
    <sheetView tabSelected="1" topLeftCell="B1" zoomScale="48" zoomScaleNormal="115" workbookViewId="0">
      <selection activeCell="N1" sqref="N1"/>
    </sheetView>
  </sheetViews>
  <sheetFormatPr defaultColWidth="34.88671875" defaultRowHeight="15.6" x14ac:dyDescent="0.3"/>
  <cols>
    <col min="1" max="16384" width="34.88671875" style="16"/>
  </cols>
  <sheetData>
    <row r="1" spans="2:28" ht="23.4" x14ac:dyDescent="0.3">
      <c r="B1" s="30" t="s">
        <v>429</v>
      </c>
    </row>
    <row r="10" spans="2:28" ht="16.2" thickBot="1" x14ac:dyDescent="0.35">
      <c r="B10" s="14" t="s">
        <v>412</v>
      </c>
      <c r="C10" s="15">
        <f>COUNTA('sorted data'!A2:A302)</f>
        <v>300</v>
      </c>
      <c r="E10" s="17" t="s">
        <v>420</v>
      </c>
    </row>
    <row r="11" spans="2:28" ht="16.8" thickTop="1" thickBot="1" x14ac:dyDescent="0.35">
      <c r="B11" s="14" t="s">
        <v>414</v>
      </c>
      <c r="C11" s="18">
        <f>COUNTIF('sorted data'!I:I,"DISBURSED")</f>
        <v>75</v>
      </c>
      <c r="E11" s="16">
        <v>300</v>
      </c>
    </row>
    <row r="12" spans="2:28" ht="16.8" thickTop="1" thickBot="1" x14ac:dyDescent="0.35">
      <c r="B12" s="14" t="s">
        <v>415</v>
      </c>
      <c r="C12" s="19">
        <f>C11/C10</f>
        <v>0.25</v>
      </c>
    </row>
    <row r="13" spans="2:28" ht="16.8" thickTop="1" thickBot="1" x14ac:dyDescent="0.35">
      <c r="B13" s="14" t="s">
        <v>413</v>
      </c>
      <c r="C13" s="20">
        <f>COUNTIF('sorted data'!I:I,"REJECTED")+COUNTIF('sorted data'!I:I,"NOT ELIGIBLE")</f>
        <v>67</v>
      </c>
    </row>
    <row r="14" spans="2:28" ht="16.2" thickTop="1" x14ac:dyDescent="0.3"/>
    <row r="15" spans="2:28" x14ac:dyDescent="0.3">
      <c r="B15" s="21" t="s">
        <v>416</v>
      </c>
      <c r="E15" s="21" t="s">
        <v>417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2:28" x14ac:dyDescent="0.3">
      <c r="B16" s="23" t="s">
        <v>8</v>
      </c>
      <c r="C16" s="16" t="s">
        <v>420</v>
      </c>
      <c r="E16" s="23" t="s">
        <v>425</v>
      </c>
      <c r="F16" s="16" t="s">
        <v>420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2:28" x14ac:dyDescent="0.3">
      <c r="B17" s="16" t="s">
        <v>23</v>
      </c>
      <c r="C17" s="16">
        <v>14</v>
      </c>
      <c r="E17" s="16" t="s">
        <v>43</v>
      </c>
      <c r="F17" s="16">
        <v>63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2:28" x14ac:dyDescent="0.3">
      <c r="B18" s="16" t="s">
        <v>181</v>
      </c>
      <c r="C18" s="16">
        <v>11</v>
      </c>
      <c r="E18" s="16" t="s">
        <v>35</v>
      </c>
      <c r="F18" s="16">
        <v>45</v>
      </c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2:28" x14ac:dyDescent="0.3">
      <c r="B19" s="16" t="s">
        <v>29</v>
      </c>
      <c r="C19" s="16">
        <v>75</v>
      </c>
      <c r="E19" s="16" t="s">
        <v>53</v>
      </c>
      <c r="F19" s="16">
        <v>58</v>
      </c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2:28" x14ac:dyDescent="0.3">
      <c r="B20" s="16" t="s">
        <v>19</v>
      </c>
      <c r="C20" s="16">
        <v>11</v>
      </c>
      <c r="E20" s="16" t="s">
        <v>22</v>
      </c>
      <c r="F20" s="16">
        <v>47</v>
      </c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2:28" x14ac:dyDescent="0.3">
      <c r="B21" s="16" t="s">
        <v>56</v>
      </c>
      <c r="C21" s="16">
        <v>45</v>
      </c>
      <c r="E21" s="16" t="s">
        <v>26</v>
      </c>
      <c r="F21" s="16">
        <v>41</v>
      </c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2:28" x14ac:dyDescent="0.3">
      <c r="B22" s="16" t="s">
        <v>15</v>
      </c>
      <c r="C22" s="16">
        <v>47</v>
      </c>
      <c r="E22" s="16" t="s">
        <v>12</v>
      </c>
      <c r="F22" s="16">
        <v>46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2:28" x14ac:dyDescent="0.3">
      <c r="B23" s="16" t="s">
        <v>49</v>
      </c>
      <c r="C23" s="16">
        <v>28</v>
      </c>
      <c r="E23" s="16" t="s">
        <v>418</v>
      </c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2:28" x14ac:dyDescent="0.3">
      <c r="B24" s="16" t="s">
        <v>84</v>
      </c>
      <c r="C24" s="16">
        <v>30</v>
      </c>
      <c r="E24" s="16" t="s">
        <v>419</v>
      </c>
      <c r="F24" s="16">
        <v>300</v>
      </c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2:28" x14ac:dyDescent="0.3">
      <c r="B25" s="16" t="s">
        <v>39</v>
      </c>
      <c r="C25" s="16">
        <v>39</v>
      </c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2:28" x14ac:dyDescent="0.3">
      <c r="B26" s="16" t="s">
        <v>418</v>
      </c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2:28" x14ac:dyDescent="0.3">
      <c r="B27" s="16" t="s">
        <v>419</v>
      </c>
      <c r="C27" s="16">
        <v>300</v>
      </c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2:28" x14ac:dyDescent="0.3">
      <c r="B28" s="23" t="s">
        <v>8</v>
      </c>
      <c r="C28" s="16" t="s">
        <v>428</v>
      </c>
      <c r="E28" s="16" t="s">
        <v>421</v>
      </c>
      <c r="F28" s="16" t="s">
        <v>420</v>
      </c>
      <c r="O28" s="22"/>
      <c r="P28" s="22"/>
      <c r="Q28" s="22"/>
    </row>
    <row r="29" spans="2:28" x14ac:dyDescent="0.3">
      <c r="B29" s="16" t="s">
        <v>23</v>
      </c>
      <c r="C29" s="16">
        <v>38142.857142857145</v>
      </c>
      <c r="E29" s="16" t="s">
        <v>90</v>
      </c>
      <c r="F29" s="16">
        <v>4</v>
      </c>
      <c r="O29" s="22"/>
      <c r="P29" s="22"/>
      <c r="Q29" s="22"/>
    </row>
    <row r="30" spans="2:28" x14ac:dyDescent="0.3">
      <c r="B30" s="16" t="s">
        <v>181</v>
      </c>
      <c r="C30" s="16">
        <v>33909.090909090912</v>
      </c>
      <c r="E30" s="16" t="s">
        <v>67</v>
      </c>
      <c r="F30" s="16">
        <v>5</v>
      </c>
      <c r="O30" s="22"/>
      <c r="P30" s="22"/>
      <c r="Q30" s="22"/>
    </row>
    <row r="31" spans="2:28" x14ac:dyDescent="0.3">
      <c r="B31" s="16" t="s">
        <v>29</v>
      </c>
      <c r="C31" s="16">
        <v>37933.333333333336</v>
      </c>
      <c r="E31" s="16" t="s">
        <v>40</v>
      </c>
      <c r="F31" s="16">
        <v>9</v>
      </c>
      <c r="O31" s="22"/>
      <c r="P31" s="22"/>
      <c r="Q31" s="22"/>
    </row>
    <row r="32" spans="2:28" x14ac:dyDescent="0.3">
      <c r="B32" s="16" t="s">
        <v>19</v>
      </c>
      <c r="C32" s="16">
        <v>28909.090909090908</v>
      </c>
      <c r="E32" s="16" t="s">
        <v>46</v>
      </c>
      <c r="F32" s="16">
        <v>20</v>
      </c>
      <c r="O32" s="22"/>
      <c r="P32" s="22"/>
      <c r="Q32" s="22"/>
    </row>
    <row r="33" spans="2:14" x14ac:dyDescent="0.3">
      <c r="B33" s="16" t="s">
        <v>56</v>
      </c>
      <c r="C33" s="16">
        <v>37911.111111111109</v>
      </c>
      <c r="E33" s="16" t="s">
        <v>95</v>
      </c>
      <c r="F33" s="16">
        <v>8</v>
      </c>
    </row>
    <row r="34" spans="2:14" x14ac:dyDescent="0.3">
      <c r="B34" s="16" t="s">
        <v>15</v>
      </c>
      <c r="C34" s="16">
        <v>35404.255319148935</v>
      </c>
      <c r="E34" s="16" t="s">
        <v>212</v>
      </c>
      <c r="F34" s="16">
        <v>6</v>
      </c>
    </row>
    <row r="35" spans="2:14" x14ac:dyDescent="0.3">
      <c r="B35" s="16" t="s">
        <v>49</v>
      </c>
      <c r="C35" s="16">
        <v>33392.857142857145</v>
      </c>
      <c r="E35" s="16" t="s">
        <v>50</v>
      </c>
      <c r="F35" s="16">
        <v>4</v>
      </c>
    </row>
    <row r="36" spans="2:14" x14ac:dyDescent="0.3">
      <c r="B36" s="16" t="s">
        <v>84</v>
      </c>
      <c r="C36" s="16">
        <v>37433.333333333336</v>
      </c>
      <c r="E36" s="16" t="s">
        <v>28</v>
      </c>
      <c r="F36" s="16">
        <v>11</v>
      </c>
    </row>
    <row r="37" spans="2:14" x14ac:dyDescent="0.3">
      <c r="B37" s="16" t="s">
        <v>39</v>
      </c>
      <c r="C37" s="16">
        <v>33025.641025641024</v>
      </c>
      <c r="E37" s="16" t="s">
        <v>418</v>
      </c>
      <c r="F37" s="16">
        <v>233</v>
      </c>
    </row>
    <row r="38" spans="2:14" x14ac:dyDescent="0.3">
      <c r="B38" s="16" t="s">
        <v>419</v>
      </c>
      <c r="C38" s="16">
        <v>35953.333333333336</v>
      </c>
      <c r="E38" s="16" t="s">
        <v>419</v>
      </c>
      <c r="F38" s="16">
        <v>300</v>
      </c>
    </row>
    <row r="40" spans="2:14" x14ac:dyDescent="0.3">
      <c r="B40" s="23" t="s">
        <v>426</v>
      </c>
      <c r="C40" s="23" t="s">
        <v>423</v>
      </c>
      <c r="N40" s="24" t="s">
        <v>427</v>
      </c>
    </row>
    <row r="41" spans="2:14" ht="31.2" x14ac:dyDescent="0.3">
      <c r="B41" s="23" t="s">
        <v>422</v>
      </c>
      <c r="C41" s="16" t="s">
        <v>23</v>
      </c>
      <c r="D41" s="16" t="s">
        <v>181</v>
      </c>
      <c r="E41" s="16" t="s">
        <v>29</v>
      </c>
      <c r="F41" s="16" t="s">
        <v>19</v>
      </c>
      <c r="G41" s="16" t="s">
        <v>56</v>
      </c>
      <c r="H41" s="16" t="s">
        <v>15</v>
      </c>
      <c r="I41" s="16" t="s">
        <v>49</v>
      </c>
      <c r="J41" s="16" t="s">
        <v>84</v>
      </c>
      <c r="K41" s="16" t="s">
        <v>39</v>
      </c>
      <c r="L41" s="16" t="s">
        <v>418</v>
      </c>
      <c r="M41" s="16" t="s">
        <v>419</v>
      </c>
      <c r="N41" s="16" t="s">
        <v>415</v>
      </c>
    </row>
    <row r="42" spans="2:14" x14ac:dyDescent="0.3">
      <c r="B42" s="16" t="s">
        <v>32</v>
      </c>
      <c r="C42" s="16">
        <v>1</v>
      </c>
      <c r="D42" s="16">
        <v>4</v>
      </c>
      <c r="E42" s="16">
        <v>9</v>
      </c>
      <c r="F42" s="16">
        <v>1</v>
      </c>
      <c r="G42" s="16">
        <v>8</v>
      </c>
      <c r="H42" s="16">
        <v>5</v>
      </c>
      <c r="I42" s="16">
        <v>3</v>
      </c>
      <c r="J42" s="16">
        <v>3</v>
      </c>
      <c r="K42" s="16">
        <v>5</v>
      </c>
      <c r="M42" s="16">
        <v>39</v>
      </c>
      <c r="N42" s="25">
        <f t="shared" ref="N42:N51" si="0">E42/M42</f>
        <v>0.23076923076923078</v>
      </c>
    </row>
    <row r="43" spans="2:14" x14ac:dyDescent="0.3">
      <c r="B43" s="16" t="s">
        <v>65</v>
      </c>
      <c r="D43" s="16">
        <v>1</v>
      </c>
      <c r="E43" s="16">
        <v>11</v>
      </c>
      <c r="F43" s="16">
        <v>1</v>
      </c>
      <c r="G43" s="16">
        <v>4</v>
      </c>
      <c r="H43" s="16">
        <v>6</v>
      </c>
      <c r="I43" s="16">
        <v>1</v>
      </c>
      <c r="J43" s="16">
        <v>5</v>
      </c>
      <c r="K43" s="16">
        <v>9</v>
      </c>
      <c r="M43" s="16">
        <v>38</v>
      </c>
      <c r="N43" s="26">
        <f t="shared" si="0"/>
        <v>0.28947368421052633</v>
      </c>
    </row>
    <row r="44" spans="2:14" x14ac:dyDescent="0.3">
      <c r="B44" s="16" t="s">
        <v>60</v>
      </c>
      <c r="C44" s="16">
        <v>3</v>
      </c>
      <c r="D44" s="16">
        <v>1</v>
      </c>
      <c r="E44" s="16">
        <v>4</v>
      </c>
      <c r="F44" s="16">
        <v>2</v>
      </c>
      <c r="G44" s="16">
        <v>8</v>
      </c>
      <c r="H44" s="16">
        <v>7</v>
      </c>
      <c r="I44" s="16">
        <v>3</v>
      </c>
      <c r="J44" s="16">
        <v>4</v>
      </c>
      <c r="K44" s="16">
        <v>2</v>
      </c>
      <c r="M44" s="16">
        <v>34</v>
      </c>
      <c r="N44" s="26">
        <f t="shared" si="0"/>
        <v>0.11764705882352941</v>
      </c>
    </row>
    <row r="45" spans="2:14" x14ac:dyDescent="0.3">
      <c r="B45" s="16" t="s">
        <v>27</v>
      </c>
      <c r="D45" s="16">
        <v>1</v>
      </c>
      <c r="E45" s="16">
        <v>8</v>
      </c>
      <c r="F45" s="16">
        <v>2</v>
      </c>
      <c r="G45" s="16">
        <v>4</v>
      </c>
      <c r="H45" s="16">
        <v>7</v>
      </c>
      <c r="I45" s="16">
        <v>4</v>
      </c>
      <c r="J45" s="16">
        <v>5</v>
      </c>
      <c r="K45" s="16">
        <v>2</v>
      </c>
      <c r="M45" s="16">
        <v>33</v>
      </c>
      <c r="N45" s="26">
        <f t="shared" si="0"/>
        <v>0.24242424242424243</v>
      </c>
    </row>
    <row r="46" spans="2:14" x14ac:dyDescent="0.3">
      <c r="B46" s="16" t="s">
        <v>44</v>
      </c>
      <c r="C46" s="16">
        <v>1</v>
      </c>
      <c r="E46" s="16">
        <v>8</v>
      </c>
      <c r="G46" s="16">
        <v>5</v>
      </c>
      <c r="H46" s="16">
        <v>7</v>
      </c>
      <c r="I46" s="16">
        <v>5</v>
      </c>
      <c r="J46" s="16">
        <v>2</v>
      </c>
      <c r="K46" s="16">
        <v>3</v>
      </c>
      <c r="M46" s="16">
        <v>31</v>
      </c>
      <c r="N46" s="26">
        <f t="shared" si="0"/>
        <v>0.25806451612903225</v>
      </c>
    </row>
    <row r="47" spans="2:14" x14ac:dyDescent="0.3">
      <c r="B47" s="16" t="s">
        <v>92</v>
      </c>
      <c r="C47" s="16">
        <v>2</v>
      </c>
      <c r="E47" s="16">
        <v>9</v>
      </c>
      <c r="G47" s="16">
        <v>4</v>
      </c>
      <c r="H47" s="16">
        <v>3</v>
      </c>
      <c r="I47" s="16">
        <v>4</v>
      </c>
      <c r="J47" s="16">
        <v>4</v>
      </c>
      <c r="K47" s="16">
        <v>3</v>
      </c>
      <c r="M47" s="16">
        <v>29</v>
      </c>
      <c r="N47" s="26">
        <f t="shared" si="0"/>
        <v>0.31034482758620691</v>
      </c>
    </row>
    <row r="48" spans="2:14" x14ac:dyDescent="0.3">
      <c r="B48" s="16" t="s">
        <v>13</v>
      </c>
      <c r="C48" s="16">
        <v>2</v>
      </c>
      <c r="D48" s="16">
        <v>1</v>
      </c>
      <c r="E48" s="16">
        <v>9</v>
      </c>
      <c r="F48" s="16">
        <v>1</v>
      </c>
      <c r="G48" s="16">
        <v>1</v>
      </c>
      <c r="H48" s="16">
        <v>1</v>
      </c>
      <c r="I48" s="16">
        <v>5</v>
      </c>
      <c r="J48" s="16">
        <v>3</v>
      </c>
      <c r="K48" s="16">
        <v>6</v>
      </c>
      <c r="M48" s="16">
        <v>29</v>
      </c>
      <c r="N48" s="26">
        <f t="shared" si="0"/>
        <v>0.31034482758620691</v>
      </c>
    </row>
    <row r="49" spans="2:14" x14ac:dyDescent="0.3">
      <c r="B49" s="16" t="s">
        <v>38</v>
      </c>
      <c r="C49" s="16">
        <v>3</v>
      </c>
      <c r="E49" s="16">
        <v>6</v>
      </c>
      <c r="F49" s="16">
        <v>2</v>
      </c>
      <c r="G49" s="16">
        <v>7</v>
      </c>
      <c r="H49" s="16">
        <v>2</v>
      </c>
      <c r="I49" s="16">
        <v>1</v>
      </c>
      <c r="J49" s="16">
        <v>1</v>
      </c>
      <c r="K49" s="16">
        <v>4</v>
      </c>
      <c r="M49" s="16">
        <v>26</v>
      </c>
      <c r="N49" s="26">
        <f t="shared" si="0"/>
        <v>0.23076923076923078</v>
      </c>
    </row>
    <row r="50" spans="2:14" x14ac:dyDescent="0.3">
      <c r="B50" s="16" t="s">
        <v>18</v>
      </c>
      <c r="C50" s="16">
        <v>2</v>
      </c>
      <c r="D50" s="16">
        <v>1</v>
      </c>
      <c r="E50" s="16">
        <v>6</v>
      </c>
      <c r="F50" s="16">
        <v>2</v>
      </c>
      <c r="G50" s="16">
        <v>1</v>
      </c>
      <c r="H50" s="16">
        <v>6</v>
      </c>
      <c r="I50" s="16">
        <v>2</v>
      </c>
      <c r="J50" s="16">
        <v>1</v>
      </c>
      <c r="K50" s="16">
        <v>2</v>
      </c>
      <c r="M50" s="16">
        <v>23</v>
      </c>
      <c r="N50" s="26">
        <f t="shared" si="0"/>
        <v>0.2608695652173913</v>
      </c>
    </row>
    <row r="51" spans="2:14" x14ac:dyDescent="0.3">
      <c r="B51" s="16" t="s">
        <v>70</v>
      </c>
      <c r="D51" s="16">
        <v>2</v>
      </c>
      <c r="E51" s="16">
        <v>5</v>
      </c>
      <c r="G51" s="16">
        <v>3</v>
      </c>
      <c r="H51" s="16">
        <v>3</v>
      </c>
      <c r="J51" s="16">
        <v>2</v>
      </c>
      <c r="K51" s="16">
        <v>3</v>
      </c>
      <c r="M51" s="16">
        <v>18</v>
      </c>
      <c r="N51" s="26">
        <f t="shared" si="0"/>
        <v>0.27777777777777779</v>
      </c>
    </row>
    <row r="52" spans="2:14" x14ac:dyDescent="0.3">
      <c r="B52" s="16" t="s">
        <v>418</v>
      </c>
    </row>
    <row r="53" spans="2:14" x14ac:dyDescent="0.3">
      <c r="B53" s="16" t="s">
        <v>419</v>
      </c>
      <c r="C53" s="16">
        <v>14</v>
      </c>
      <c r="D53" s="16">
        <v>11</v>
      </c>
      <c r="E53" s="16">
        <v>75</v>
      </c>
      <c r="F53" s="16">
        <v>11</v>
      </c>
      <c r="G53" s="16">
        <v>45</v>
      </c>
      <c r="H53" s="16">
        <v>47</v>
      </c>
      <c r="I53" s="16">
        <v>28</v>
      </c>
      <c r="J53" s="16">
        <v>30</v>
      </c>
      <c r="K53" s="16">
        <v>39</v>
      </c>
      <c r="M53" s="16">
        <v>300</v>
      </c>
    </row>
  </sheetData>
  <pageMargins left="0.25" right="0.25" top="0.75" bottom="0.75" header="0.3" footer="0.3"/>
  <pageSetup orientation="landscape" r:id="rId7"/>
  <drawing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sorted data</vt:lpstr>
      <vt:lpstr>Your Practice Area</vt:lpstr>
      <vt:lpstr>LEAD FUNNEL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Palak Mittal</cp:lastModifiedBy>
  <cp:revision>1</cp:revision>
  <cp:lastPrinted>2026-07-05T11:13:09Z</cp:lastPrinted>
  <dcterms:created xsi:type="dcterms:W3CDTF">2026-06-24T16:11:49Z</dcterms:created>
  <dcterms:modified xsi:type="dcterms:W3CDTF">2026-07-05T11:42:12Z</dcterms:modified>
  <dc:language>en-US</dc:language>
</cp:coreProperties>
</file>